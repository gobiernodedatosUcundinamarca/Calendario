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ninchaustegui\Desktop\calendario_istitucional_Ucundinamrca\herramientas\plantilla\"/>
    </mc:Choice>
  </mc:AlternateContent>
  <xr:revisionPtr revIDLastSave="0" documentId="13_ncr:1_{8DDE93A1-AB54-4E78-A8F7-BE5FECF860EE}" xr6:coauthVersionLast="47" xr6:coauthVersionMax="47" xr10:uidLastSave="{00000000-0000-0000-0000-000000000000}"/>
  <bookViews>
    <workbookView xWindow="-120" yWindow="-120" windowWidth="29040" windowHeight="15720" xr2:uid="{00000000-000D-0000-FFFF-FFFF00000000}"/>
  </bookViews>
  <sheets>
    <sheet name="Formato" sheetId="3" r:id="rId1"/>
    <sheet name="Listas" sheetId="5" state="hidden" r:id="rId2"/>
  </sheets>
  <definedNames>
    <definedName name="_xlnm._FilterDatabase" localSheetId="0" hidden="1">Formato!$A$10:$Z$310</definedName>
    <definedName name="CalendarioPrincipal">Formato!$B$7</definedName>
    <definedName name="Dias">Listas!$F$2:$F$732</definedName>
    <definedName name="Festivos">Listas!$E$2:$E$55</definedName>
    <definedName name="Lista_Areas">Listas!$H$2:$H$62</definedName>
    <definedName name="Lista_Calendario">Listas!$G$2:$G$3</definedName>
    <definedName name="Lista_Categoria">Listas!$A$2:$A$20</definedName>
    <definedName name="Lista_Repite">Listas!$C$2:$C$9</definedName>
    <definedName name="Lista_Sede">Listas!$B$2:$B$10</definedName>
    <definedName name="Lista_UnidadLider">Listas!$D$2:$D$4</definedName>
    <definedName name="SedePrincipal">Formato!$B$6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7" i="3" l="1"/>
  <c r="AE177" i="3"/>
  <c r="AE105" i="3"/>
  <c r="AE73" i="3"/>
  <c r="AE50" i="3"/>
  <c r="AI50" i="3" s="1"/>
  <c r="AE49" i="3"/>
  <c r="AE48" i="3"/>
  <c r="AE17" i="3"/>
  <c r="AE16" i="3"/>
  <c r="AE14" i="3"/>
  <c r="AD310" i="3"/>
  <c r="AB310" i="3"/>
  <c r="AH310" i="3" s="1"/>
  <c r="AD309" i="3"/>
  <c r="AB309" i="3"/>
  <c r="M309" i="3" s="1"/>
  <c r="AD308" i="3"/>
  <c r="AB308" i="3"/>
  <c r="AE308" i="3" s="1"/>
  <c r="AD307" i="3"/>
  <c r="AB307" i="3"/>
  <c r="AH307" i="3" s="1"/>
  <c r="AD306" i="3"/>
  <c r="AB306" i="3"/>
  <c r="AE306" i="3" s="1"/>
  <c r="AD305" i="3"/>
  <c r="AB305" i="3"/>
  <c r="AH305" i="3" s="1"/>
  <c r="AD304" i="3"/>
  <c r="AB304" i="3"/>
  <c r="AE304" i="3" s="1"/>
  <c r="AD303" i="3"/>
  <c r="AB303" i="3"/>
  <c r="M303" i="3" s="1"/>
  <c r="AD302" i="3"/>
  <c r="AB302" i="3"/>
  <c r="M302" i="3" s="1"/>
  <c r="AD301" i="3"/>
  <c r="AB301" i="3"/>
  <c r="M301" i="3" s="1"/>
  <c r="AD300" i="3"/>
  <c r="AB300" i="3"/>
  <c r="AH300" i="3" s="1"/>
  <c r="AD299" i="3"/>
  <c r="AB299" i="3"/>
  <c r="AE299" i="3" s="1"/>
  <c r="AD298" i="3"/>
  <c r="AB298" i="3"/>
  <c r="AE298" i="3" s="1"/>
  <c r="AD297" i="3"/>
  <c r="AB297" i="3"/>
  <c r="AH297" i="3" s="1"/>
  <c r="AD296" i="3"/>
  <c r="AB296" i="3"/>
  <c r="AE296" i="3" s="1"/>
  <c r="AD295" i="3"/>
  <c r="AB295" i="3"/>
  <c r="M295" i="3" s="1"/>
  <c r="AD294" i="3"/>
  <c r="AB294" i="3"/>
  <c r="AC294" i="3" s="1"/>
  <c r="AD293" i="3"/>
  <c r="AB293" i="3"/>
  <c r="M293" i="3" s="1"/>
  <c r="AD292" i="3"/>
  <c r="AB292" i="3"/>
  <c r="AC292" i="3" s="1"/>
  <c r="AD291" i="3"/>
  <c r="AB291" i="3"/>
  <c r="M291" i="3" s="1"/>
  <c r="AD290" i="3"/>
  <c r="AB290" i="3"/>
  <c r="AH290" i="3" s="1"/>
  <c r="AD289" i="3"/>
  <c r="AB289" i="3"/>
  <c r="AC289" i="3" s="1"/>
  <c r="AD288" i="3"/>
  <c r="AB288" i="3"/>
  <c r="AE288" i="3" s="1"/>
  <c r="AD287" i="3"/>
  <c r="AB287" i="3"/>
  <c r="M287" i="3" s="1"/>
  <c r="AD286" i="3"/>
  <c r="AB286" i="3"/>
  <c r="AH286" i="3" s="1"/>
  <c r="AD285" i="3"/>
  <c r="AB285" i="3"/>
  <c r="AE285" i="3" s="1"/>
  <c r="AD284" i="3"/>
  <c r="AB284" i="3"/>
  <c r="AE284" i="3" s="1"/>
  <c r="AD283" i="3"/>
  <c r="AB283" i="3"/>
  <c r="AH283" i="3" s="1"/>
  <c r="AD282" i="3"/>
  <c r="AB282" i="3"/>
  <c r="AE282" i="3" s="1"/>
  <c r="AD281" i="3"/>
  <c r="AB281" i="3"/>
  <c r="AE281" i="3" s="1"/>
  <c r="AD280" i="3"/>
  <c r="AB280" i="3"/>
  <c r="AE280" i="3" s="1"/>
  <c r="AD279" i="3"/>
  <c r="AB279" i="3"/>
  <c r="M279" i="3" s="1"/>
  <c r="AD278" i="3"/>
  <c r="AB278" i="3"/>
  <c r="AH278" i="3" s="1"/>
  <c r="AD277" i="3"/>
  <c r="AB277" i="3"/>
  <c r="AH277" i="3" s="1"/>
  <c r="AD276" i="3"/>
  <c r="AB276" i="3"/>
  <c r="AC276" i="3" s="1"/>
  <c r="AD275" i="3"/>
  <c r="AB275" i="3"/>
  <c r="AE275" i="3" s="1"/>
  <c r="AD274" i="3"/>
  <c r="AB274" i="3"/>
  <c r="AE274" i="3" s="1"/>
  <c r="AD273" i="3"/>
  <c r="AB273" i="3"/>
  <c r="AC273" i="3" s="1"/>
  <c r="AD272" i="3"/>
  <c r="AB272" i="3"/>
  <c r="AE272" i="3" s="1"/>
  <c r="AD271" i="3"/>
  <c r="AB271" i="3"/>
  <c r="M271" i="3" s="1"/>
  <c r="AD270" i="3"/>
  <c r="AB270" i="3"/>
  <c r="M270" i="3" s="1"/>
  <c r="AD269" i="3"/>
  <c r="AB269" i="3"/>
  <c r="M269" i="3" s="1"/>
  <c r="AD268" i="3"/>
  <c r="AB268" i="3"/>
  <c r="AH268" i="3" s="1"/>
  <c r="AD267" i="3"/>
  <c r="AB267" i="3"/>
  <c r="AH267" i="3" s="1"/>
  <c r="M267" i="3"/>
  <c r="AD266" i="3"/>
  <c r="AB266" i="3"/>
  <c r="AH266" i="3" s="1"/>
  <c r="AD265" i="3"/>
  <c r="AB265" i="3"/>
  <c r="AE265" i="3" s="1"/>
  <c r="AD264" i="3"/>
  <c r="AB264" i="3"/>
  <c r="M264" i="3" s="1"/>
  <c r="AD263" i="3"/>
  <c r="AB263" i="3"/>
  <c r="AE263" i="3" s="1"/>
  <c r="AD262" i="3"/>
  <c r="AB262" i="3"/>
  <c r="AH262" i="3" s="1"/>
  <c r="AD261" i="3"/>
  <c r="AB261" i="3"/>
  <c r="M261" i="3"/>
  <c r="AD260" i="3"/>
  <c r="AB260" i="3"/>
  <c r="AE260" i="3" s="1"/>
  <c r="AD259" i="3"/>
  <c r="AB259" i="3"/>
  <c r="M259" i="3" s="1"/>
  <c r="AD258" i="3"/>
  <c r="AB258" i="3"/>
  <c r="AH258" i="3" s="1"/>
  <c r="AD257" i="3"/>
  <c r="AB257" i="3"/>
  <c r="M257" i="3" s="1"/>
  <c r="AD256" i="3"/>
  <c r="AB256" i="3"/>
  <c r="M256" i="3" s="1"/>
  <c r="AD255" i="3"/>
  <c r="AB255" i="3"/>
  <c r="M255" i="3" s="1"/>
  <c r="AD254" i="3"/>
  <c r="AB254" i="3"/>
  <c r="AE254" i="3" s="1"/>
  <c r="M254" i="3"/>
  <c r="AD253" i="3"/>
  <c r="AB253" i="3"/>
  <c r="AH253" i="3" s="1"/>
  <c r="AD252" i="3"/>
  <c r="AB252" i="3"/>
  <c r="AC252" i="3" s="1"/>
  <c r="AD251" i="3"/>
  <c r="AB251" i="3"/>
  <c r="M251" i="3" s="1"/>
  <c r="AD250" i="3"/>
  <c r="AB250" i="3"/>
  <c r="AE250" i="3" s="1"/>
  <c r="AD249" i="3"/>
  <c r="AB249" i="3"/>
  <c r="M249" i="3" s="1"/>
  <c r="AD248" i="3"/>
  <c r="AB248" i="3"/>
  <c r="AE248" i="3" s="1"/>
  <c r="M248" i="3"/>
  <c r="AD247" i="3"/>
  <c r="AB247" i="3"/>
  <c r="AE247" i="3" s="1"/>
  <c r="AD246" i="3"/>
  <c r="AB246" i="3"/>
  <c r="AH246" i="3" s="1"/>
  <c r="M246" i="3"/>
  <c r="AD245" i="3"/>
  <c r="AB245" i="3"/>
  <c r="M245" i="3" s="1"/>
  <c r="AD244" i="3"/>
  <c r="AB244" i="3"/>
  <c r="AH244" i="3" s="1"/>
  <c r="AD243" i="3"/>
  <c r="AB243" i="3"/>
  <c r="AH243" i="3" s="1"/>
  <c r="M243" i="3"/>
  <c r="AD242" i="3"/>
  <c r="AB242" i="3"/>
  <c r="AE242" i="3" s="1"/>
  <c r="AD241" i="3"/>
  <c r="AB241" i="3"/>
  <c r="AH241" i="3" s="1"/>
  <c r="AD240" i="3"/>
  <c r="AB240" i="3"/>
  <c r="M240" i="3" s="1"/>
  <c r="AD239" i="3"/>
  <c r="AB239" i="3"/>
  <c r="M239" i="3" s="1"/>
  <c r="AD238" i="3"/>
  <c r="AB238" i="3"/>
  <c r="AC238" i="3" s="1"/>
  <c r="AD237" i="3"/>
  <c r="AB237" i="3"/>
  <c r="AE237" i="3" s="1"/>
  <c r="M237" i="3"/>
  <c r="AD236" i="3"/>
  <c r="AB236" i="3"/>
  <c r="AH236" i="3" s="1"/>
  <c r="AD235" i="3"/>
  <c r="AB235" i="3"/>
  <c r="M235" i="3" s="1"/>
  <c r="AD234" i="3"/>
  <c r="AB234" i="3"/>
  <c r="AH234" i="3" s="1"/>
  <c r="AD233" i="3"/>
  <c r="AB233" i="3"/>
  <c r="M233" i="3" s="1"/>
  <c r="AD232" i="3"/>
  <c r="AB232" i="3"/>
  <c r="AC232" i="3" s="1"/>
  <c r="AD231" i="3"/>
  <c r="AB231" i="3"/>
  <c r="AE231" i="3" s="1"/>
  <c r="AD230" i="3"/>
  <c r="AB230" i="3"/>
  <c r="AE230" i="3" s="1"/>
  <c r="AD229" i="3"/>
  <c r="AB229" i="3"/>
  <c r="M229" i="3" s="1"/>
  <c r="AD228" i="3"/>
  <c r="AB228" i="3"/>
  <c r="AC228" i="3" s="1"/>
  <c r="AD227" i="3"/>
  <c r="AB227" i="3"/>
  <c r="AC227" i="3" s="1"/>
  <c r="AD226" i="3"/>
  <c r="AB226" i="3"/>
  <c r="AH226" i="3" s="1"/>
  <c r="AD225" i="3"/>
  <c r="AB225" i="3"/>
  <c r="M225" i="3" s="1"/>
  <c r="AD224" i="3"/>
  <c r="AB224" i="3"/>
  <c r="AE224" i="3" s="1"/>
  <c r="AD223" i="3"/>
  <c r="AB223" i="3"/>
  <c r="M223" i="3" s="1"/>
  <c r="AD222" i="3"/>
  <c r="AB222" i="3"/>
  <c r="AE222" i="3" s="1"/>
  <c r="M222" i="3"/>
  <c r="AD221" i="3"/>
  <c r="AB221" i="3"/>
  <c r="AE221" i="3" s="1"/>
  <c r="AD220" i="3"/>
  <c r="AB220" i="3"/>
  <c r="M220" i="3" s="1"/>
  <c r="AD219" i="3"/>
  <c r="AB219" i="3"/>
  <c r="AC219" i="3" s="1"/>
  <c r="AD218" i="3"/>
  <c r="AB218" i="3"/>
  <c r="AE218" i="3" s="1"/>
  <c r="AD217" i="3"/>
  <c r="AB217" i="3"/>
  <c r="M217" i="3" s="1"/>
  <c r="AD216" i="3"/>
  <c r="AB216" i="3"/>
  <c r="M216" i="3" s="1"/>
  <c r="AD215" i="3"/>
  <c r="AB215" i="3"/>
  <c r="AE215" i="3" s="1"/>
  <c r="AD214" i="3"/>
  <c r="AB214" i="3"/>
  <c r="AC214" i="3" s="1"/>
  <c r="AD213" i="3"/>
  <c r="AB213" i="3"/>
  <c r="AH213" i="3" s="1"/>
  <c r="M213" i="3"/>
  <c r="AD212" i="3"/>
  <c r="AB212" i="3"/>
  <c r="M212" i="3" s="1"/>
  <c r="AD211" i="3"/>
  <c r="AB211" i="3"/>
  <c r="AH211" i="3" s="1"/>
  <c r="AD210" i="3"/>
  <c r="AB210" i="3"/>
  <c r="AE210" i="3" s="1"/>
  <c r="AD209" i="3"/>
  <c r="AB209" i="3"/>
  <c r="AE209" i="3" s="1"/>
  <c r="AD208" i="3"/>
  <c r="AB208" i="3"/>
  <c r="AE208" i="3" s="1"/>
  <c r="AD207" i="3"/>
  <c r="AB207" i="3"/>
  <c r="M207" i="3" s="1"/>
  <c r="AD206" i="3"/>
  <c r="AB206" i="3"/>
  <c r="AE206" i="3" s="1"/>
  <c r="AD205" i="3"/>
  <c r="AB205" i="3"/>
  <c r="AE205" i="3" s="1"/>
  <c r="AD204" i="3"/>
  <c r="AB204" i="3"/>
  <c r="AH204" i="3" s="1"/>
  <c r="AD203" i="3"/>
  <c r="AB203" i="3"/>
  <c r="AC203" i="3" s="1"/>
  <c r="AD202" i="3"/>
  <c r="AB202" i="3"/>
  <c r="AE202" i="3" s="1"/>
  <c r="M202" i="3"/>
  <c r="AD201" i="3"/>
  <c r="AB201" i="3"/>
  <c r="M201" i="3" s="1"/>
  <c r="AD200" i="3"/>
  <c r="AB200" i="3"/>
  <c r="M200" i="3" s="1"/>
  <c r="AD199" i="3"/>
  <c r="AB199" i="3"/>
  <c r="AE199" i="3" s="1"/>
  <c r="AD198" i="3"/>
  <c r="AB198" i="3"/>
  <c r="AE198" i="3" s="1"/>
  <c r="AD197" i="3"/>
  <c r="AB197" i="3"/>
  <c r="AH197" i="3" s="1"/>
  <c r="M197" i="3"/>
  <c r="AD196" i="3"/>
  <c r="AB196" i="3"/>
  <c r="M196" i="3" s="1"/>
  <c r="AD195" i="3"/>
  <c r="AB195" i="3"/>
  <c r="AE195" i="3" s="1"/>
  <c r="AD194" i="3"/>
  <c r="AB194" i="3"/>
  <c r="AE194" i="3" s="1"/>
  <c r="AD193" i="3"/>
  <c r="AB193" i="3"/>
  <c r="AC193" i="3" s="1"/>
  <c r="AD192" i="3"/>
  <c r="AB192" i="3"/>
  <c r="M192" i="3" s="1"/>
  <c r="AD191" i="3"/>
  <c r="AB191" i="3"/>
  <c r="AE191" i="3" s="1"/>
  <c r="M191" i="3"/>
  <c r="AD190" i="3"/>
  <c r="AB190" i="3"/>
  <c r="M190" i="3" s="1"/>
  <c r="AD189" i="3"/>
  <c r="AB189" i="3"/>
  <c r="AH189" i="3" s="1"/>
  <c r="AD188" i="3"/>
  <c r="AB188" i="3"/>
  <c r="AC188" i="3" s="1"/>
  <c r="AD187" i="3"/>
  <c r="AB187" i="3"/>
  <c r="AC187" i="3" s="1"/>
  <c r="AD186" i="3"/>
  <c r="AB186" i="3"/>
  <c r="AE186" i="3" s="1"/>
  <c r="M186" i="3"/>
  <c r="AD185" i="3"/>
  <c r="AB185" i="3"/>
  <c r="M185" i="3" s="1"/>
  <c r="AD184" i="3"/>
  <c r="AB184" i="3"/>
  <c r="M184" i="3" s="1"/>
  <c r="AD183" i="3"/>
  <c r="AB183" i="3"/>
  <c r="AE183" i="3" s="1"/>
  <c r="AD182" i="3"/>
  <c r="AB182" i="3"/>
  <c r="AE182" i="3" s="1"/>
  <c r="AD181" i="3"/>
  <c r="AB181" i="3"/>
  <c r="AH181" i="3" s="1"/>
  <c r="M181" i="3"/>
  <c r="AD180" i="3"/>
  <c r="AB180" i="3"/>
  <c r="AC180" i="3" s="1"/>
  <c r="AD179" i="3"/>
  <c r="AB179" i="3"/>
  <c r="AH179" i="3" s="1"/>
  <c r="AD178" i="3"/>
  <c r="AB178" i="3"/>
  <c r="AE178" i="3" s="1"/>
  <c r="AD177" i="3"/>
  <c r="AB177" i="3"/>
  <c r="M177" i="3" s="1"/>
  <c r="AD176" i="3"/>
  <c r="AB176" i="3"/>
  <c r="M176" i="3" s="1"/>
  <c r="AD175" i="3"/>
  <c r="AB175" i="3"/>
  <c r="AE175" i="3" s="1"/>
  <c r="AD174" i="3"/>
  <c r="AB174" i="3"/>
  <c r="M174" i="3" s="1"/>
  <c r="AD173" i="3"/>
  <c r="AB173" i="3"/>
  <c r="M173" i="3" s="1"/>
  <c r="AD172" i="3"/>
  <c r="AB172" i="3"/>
  <c r="AH172" i="3" s="1"/>
  <c r="AD171" i="3"/>
  <c r="AB171" i="3"/>
  <c r="AC171" i="3" s="1"/>
  <c r="AD170" i="3"/>
  <c r="AB170" i="3"/>
  <c r="AH170" i="3" s="1"/>
  <c r="AD169" i="3"/>
  <c r="AB169" i="3"/>
  <c r="M169" i="3" s="1"/>
  <c r="AD168" i="3"/>
  <c r="AB168" i="3"/>
  <c r="M168" i="3" s="1"/>
  <c r="AD167" i="3"/>
  <c r="AB167" i="3"/>
  <c r="AE167" i="3" s="1"/>
  <c r="AD166" i="3"/>
  <c r="AB166" i="3"/>
  <c r="AC166" i="3" s="1"/>
  <c r="AD165" i="3"/>
  <c r="AB165" i="3"/>
  <c r="AH165" i="3" s="1"/>
  <c r="AD164" i="3"/>
  <c r="AB164" i="3"/>
  <c r="M164" i="3" s="1"/>
  <c r="AD163" i="3"/>
  <c r="AB163" i="3"/>
  <c r="AC163" i="3" s="1"/>
  <c r="AD162" i="3"/>
  <c r="AB162" i="3"/>
  <c r="AH162" i="3" s="1"/>
  <c r="AD161" i="3"/>
  <c r="AB161" i="3"/>
  <c r="AH161" i="3" s="1"/>
  <c r="M161" i="3"/>
  <c r="AD160" i="3"/>
  <c r="AB160" i="3"/>
  <c r="AC160" i="3" s="1"/>
  <c r="AD159" i="3"/>
  <c r="AB159" i="3"/>
  <c r="AH159" i="3" s="1"/>
  <c r="AD158" i="3"/>
  <c r="AB158" i="3"/>
  <c r="AH158" i="3" s="1"/>
  <c r="AD157" i="3"/>
  <c r="AB157" i="3"/>
  <c r="M157" i="3" s="1"/>
  <c r="AD156" i="3"/>
  <c r="AB156" i="3"/>
  <c r="AH156" i="3" s="1"/>
  <c r="AD155" i="3"/>
  <c r="AB155" i="3"/>
  <c r="AE155" i="3" s="1"/>
  <c r="AD154" i="3"/>
  <c r="AB154" i="3"/>
  <c r="AH154" i="3" s="1"/>
  <c r="AD153" i="3"/>
  <c r="AB153" i="3"/>
  <c r="AH153" i="3" s="1"/>
  <c r="AD152" i="3"/>
  <c r="AB152" i="3"/>
  <c r="AE152" i="3" s="1"/>
  <c r="AD151" i="3"/>
  <c r="AB151" i="3"/>
  <c r="AC151" i="3" s="1"/>
  <c r="AD150" i="3"/>
  <c r="AB150" i="3"/>
  <c r="AH150" i="3" s="1"/>
  <c r="AD149" i="3"/>
  <c r="AB149" i="3"/>
  <c r="AE149" i="3" s="1"/>
  <c r="M149" i="3"/>
  <c r="AD148" i="3"/>
  <c r="AB148" i="3"/>
  <c r="AE148" i="3" s="1"/>
  <c r="AD147" i="3"/>
  <c r="AB147" i="3"/>
  <c r="AC147" i="3" s="1"/>
  <c r="AD146" i="3"/>
  <c r="AB146" i="3"/>
  <c r="M146" i="3" s="1"/>
  <c r="AD145" i="3"/>
  <c r="AB145" i="3"/>
  <c r="AC145" i="3" s="1"/>
  <c r="AD144" i="3"/>
  <c r="AB144" i="3"/>
  <c r="M144" i="3" s="1"/>
  <c r="AD143" i="3"/>
  <c r="AB143" i="3"/>
  <c r="M143" i="3" s="1"/>
  <c r="AD142" i="3"/>
  <c r="AB142" i="3"/>
  <c r="AE142" i="3" s="1"/>
  <c r="AD141" i="3"/>
  <c r="AB141" i="3"/>
  <c r="AE141" i="3" s="1"/>
  <c r="AD140" i="3"/>
  <c r="AB140" i="3"/>
  <c r="M140" i="3" s="1"/>
  <c r="AD139" i="3"/>
  <c r="AB139" i="3"/>
  <c r="AE139" i="3" s="1"/>
  <c r="AD138" i="3"/>
  <c r="AB138" i="3"/>
  <c r="AE138" i="3" s="1"/>
  <c r="M138" i="3"/>
  <c r="AD137" i="3"/>
  <c r="AB137" i="3"/>
  <c r="AE137" i="3" s="1"/>
  <c r="AD136" i="3"/>
  <c r="AB136" i="3"/>
  <c r="M136" i="3" s="1"/>
  <c r="AD135" i="3"/>
  <c r="AB135" i="3"/>
  <c r="AE135" i="3" s="1"/>
  <c r="M135" i="3"/>
  <c r="AD134" i="3"/>
  <c r="AB134" i="3"/>
  <c r="M134" i="3" s="1"/>
  <c r="AD133" i="3"/>
  <c r="AB133" i="3"/>
  <c r="M133" i="3" s="1"/>
  <c r="AD132" i="3"/>
  <c r="AB132" i="3"/>
  <c r="AH132" i="3" s="1"/>
  <c r="AD131" i="3"/>
  <c r="AB131" i="3"/>
  <c r="M131" i="3" s="1"/>
  <c r="AD130" i="3"/>
  <c r="AB130" i="3"/>
  <c r="M130" i="3" s="1"/>
  <c r="AD129" i="3"/>
  <c r="AB129" i="3"/>
  <c r="AH129" i="3" s="1"/>
  <c r="AD128" i="3"/>
  <c r="AB128" i="3"/>
  <c r="M128" i="3" s="1"/>
  <c r="AD127" i="3"/>
  <c r="AB127" i="3"/>
  <c r="AC127" i="3" s="1"/>
  <c r="AD126" i="3"/>
  <c r="AB126" i="3"/>
  <c r="AH126" i="3" s="1"/>
  <c r="AD125" i="3"/>
  <c r="AB125" i="3"/>
  <c r="M125" i="3" s="1"/>
  <c r="AD124" i="3"/>
  <c r="AB124" i="3"/>
  <c r="AE124" i="3" s="1"/>
  <c r="M124" i="3"/>
  <c r="AD123" i="3"/>
  <c r="AB123" i="3"/>
  <c r="AC123" i="3" s="1"/>
  <c r="AD122" i="3"/>
  <c r="AB122" i="3"/>
  <c r="M122" i="3" s="1"/>
  <c r="AD121" i="3"/>
  <c r="AB121" i="3"/>
  <c r="AE121" i="3" s="1"/>
  <c r="AD120" i="3"/>
  <c r="AB120" i="3"/>
  <c r="AH120" i="3" s="1"/>
  <c r="AD119" i="3"/>
  <c r="AB119" i="3"/>
  <c r="M119" i="3" s="1"/>
  <c r="AD118" i="3"/>
  <c r="AB118" i="3"/>
  <c r="AE118" i="3" s="1"/>
  <c r="AD117" i="3"/>
  <c r="AB117" i="3"/>
  <c r="M117" i="3" s="1"/>
  <c r="AD116" i="3"/>
  <c r="AB116" i="3"/>
  <c r="M116" i="3" s="1"/>
  <c r="AD115" i="3"/>
  <c r="AB115" i="3"/>
  <c r="AH115" i="3" s="1"/>
  <c r="AD114" i="3"/>
  <c r="AB114" i="3"/>
  <c r="M114" i="3" s="1"/>
  <c r="AD113" i="3"/>
  <c r="AB113" i="3"/>
  <c r="AC113" i="3" s="1"/>
  <c r="AD112" i="3"/>
  <c r="AB112" i="3"/>
  <c r="AH112" i="3" s="1"/>
  <c r="AD111" i="3"/>
  <c r="AB111" i="3"/>
  <c r="M111" i="3" s="1"/>
  <c r="AD110" i="3"/>
  <c r="AB110" i="3"/>
  <c r="AC110" i="3" s="1"/>
  <c r="AD109" i="3"/>
  <c r="AB109" i="3"/>
  <c r="AE109" i="3" s="1"/>
  <c r="AD108" i="3"/>
  <c r="AB108" i="3"/>
  <c r="M108" i="3" s="1"/>
  <c r="AD107" i="3"/>
  <c r="AB107" i="3"/>
  <c r="AC107" i="3" s="1"/>
  <c r="AD106" i="3"/>
  <c r="AB106" i="3"/>
  <c r="AE106" i="3" s="1"/>
  <c r="AD105" i="3"/>
  <c r="AB105" i="3"/>
  <c r="AC105" i="3" s="1"/>
  <c r="AD104" i="3"/>
  <c r="AB104" i="3"/>
  <c r="AC104" i="3" s="1"/>
  <c r="AD103" i="3"/>
  <c r="AB103" i="3"/>
  <c r="AE103" i="3" s="1"/>
  <c r="AD102" i="3"/>
  <c r="AB102" i="3"/>
  <c r="AC102" i="3" s="1"/>
  <c r="AD101" i="3"/>
  <c r="AB101" i="3"/>
  <c r="AH101" i="3" s="1"/>
  <c r="AD100" i="3"/>
  <c r="AB100" i="3"/>
  <c r="AE100" i="3" s="1"/>
  <c r="M100" i="3"/>
  <c r="AD99" i="3"/>
  <c r="AB99" i="3"/>
  <c r="AC99" i="3" s="1"/>
  <c r="AD98" i="3"/>
  <c r="AB98" i="3"/>
  <c r="AH98" i="3" s="1"/>
  <c r="AD97" i="3"/>
  <c r="AB97" i="3"/>
  <c r="AH97" i="3" s="1"/>
  <c r="M97" i="3"/>
  <c r="AD96" i="3"/>
  <c r="AB96" i="3"/>
  <c r="AE96" i="3" s="1"/>
  <c r="AD95" i="3"/>
  <c r="AB95" i="3"/>
  <c r="M95" i="3" s="1"/>
  <c r="AD94" i="3"/>
  <c r="AB94" i="3"/>
  <c r="AH94" i="3" s="1"/>
  <c r="M94" i="3"/>
  <c r="AD93" i="3"/>
  <c r="AB93" i="3"/>
  <c r="AC93" i="3" s="1"/>
  <c r="AD92" i="3"/>
  <c r="AB92" i="3"/>
  <c r="AH92" i="3" s="1"/>
  <c r="M92" i="3"/>
  <c r="AD91" i="3"/>
  <c r="AB91" i="3"/>
  <c r="AE91" i="3" s="1"/>
  <c r="AD90" i="3"/>
  <c r="AB90" i="3"/>
  <c r="M90" i="3" s="1"/>
  <c r="AD89" i="3"/>
  <c r="AB89" i="3"/>
  <c r="AH89" i="3" s="1"/>
  <c r="AD88" i="3"/>
  <c r="AB88" i="3"/>
  <c r="AE88" i="3" s="1"/>
  <c r="M88" i="3"/>
  <c r="AD87" i="3"/>
  <c r="AB87" i="3"/>
  <c r="AH87" i="3" s="1"/>
  <c r="AD86" i="3"/>
  <c r="AB86" i="3"/>
  <c r="M86" i="3" s="1"/>
  <c r="AD85" i="3"/>
  <c r="AB85" i="3"/>
  <c r="AE85" i="3" s="1"/>
  <c r="AD84" i="3"/>
  <c r="AB84" i="3"/>
  <c r="AC84" i="3" s="1"/>
  <c r="AD83" i="3"/>
  <c r="AB83" i="3"/>
  <c r="AH83" i="3" s="1"/>
  <c r="M83" i="3"/>
  <c r="AD82" i="3"/>
  <c r="AB82" i="3"/>
  <c r="AC82" i="3" s="1"/>
  <c r="AD81" i="3"/>
  <c r="AB81" i="3"/>
  <c r="AC81" i="3" s="1"/>
  <c r="AD80" i="3"/>
  <c r="AB80" i="3"/>
  <c r="AE80" i="3" s="1"/>
  <c r="AD79" i="3"/>
  <c r="AB79" i="3"/>
  <c r="AH79" i="3" s="1"/>
  <c r="AD78" i="3"/>
  <c r="AB78" i="3"/>
  <c r="AC78" i="3" s="1"/>
  <c r="AD77" i="3"/>
  <c r="AB77" i="3"/>
  <c r="AE77" i="3" s="1"/>
  <c r="AD76" i="3"/>
  <c r="AB76" i="3"/>
  <c r="AE76" i="3" s="1"/>
  <c r="AD75" i="3"/>
  <c r="AB75" i="3"/>
  <c r="AH75" i="3" s="1"/>
  <c r="AD74" i="3"/>
  <c r="AB74" i="3"/>
  <c r="AC74" i="3" s="1"/>
  <c r="AD73" i="3"/>
  <c r="AB73" i="3"/>
  <c r="AH73" i="3" s="1"/>
  <c r="AD72" i="3"/>
  <c r="AB72" i="3"/>
  <c r="AE72" i="3" s="1"/>
  <c r="M72" i="3"/>
  <c r="AD71" i="3"/>
  <c r="AB71" i="3"/>
  <c r="M71" i="3" s="1"/>
  <c r="AD70" i="3"/>
  <c r="AB70" i="3"/>
  <c r="AC70" i="3" s="1"/>
  <c r="AD69" i="3"/>
  <c r="AB69" i="3"/>
  <c r="AE69" i="3" s="1"/>
  <c r="AD68" i="3"/>
  <c r="AB68" i="3"/>
  <c r="AH68" i="3" s="1"/>
  <c r="AD67" i="3"/>
  <c r="AB67" i="3"/>
  <c r="AH67" i="3" s="1"/>
  <c r="AD66" i="3"/>
  <c r="AB66" i="3"/>
  <c r="AC66" i="3" s="1"/>
  <c r="AD65" i="3"/>
  <c r="AB65" i="3"/>
  <c r="AC65" i="3" s="1"/>
  <c r="AD64" i="3"/>
  <c r="AB64" i="3"/>
  <c r="AE64" i="3" s="1"/>
  <c r="AD63" i="3"/>
  <c r="AB63" i="3"/>
  <c r="AH63" i="3" s="1"/>
  <c r="AD62" i="3"/>
  <c r="AB62" i="3"/>
  <c r="M62" i="3" s="1"/>
  <c r="AD61" i="3"/>
  <c r="AB61" i="3"/>
  <c r="AE61" i="3" s="1"/>
  <c r="AD60" i="3"/>
  <c r="AB60" i="3"/>
  <c r="AE60" i="3" s="1"/>
  <c r="AD59" i="3"/>
  <c r="AB59" i="3"/>
  <c r="AH59" i="3" s="1"/>
  <c r="AD58" i="3"/>
  <c r="AB58" i="3"/>
  <c r="AC58" i="3" s="1"/>
  <c r="AD57" i="3"/>
  <c r="AB57" i="3"/>
  <c r="AC57" i="3" s="1"/>
  <c r="AD56" i="3"/>
  <c r="AB56" i="3"/>
  <c r="AE56" i="3" s="1"/>
  <c r="AD55" i="3"/>
  <c r="AB55" i="3"/>
  <c r="AH55" i="3" s="1"/>
  <c r="AD54" i="3"/>
  <c r="AB54" i="3"/>
  <c r="AC54" i="3" s="1"/>
  <c r="AD53" i="3"/>
  <c r="AB53" i="3"/>
  <c r="AE53" i="3" s="1"/>
  <c r="AD52" i="3"/>
  <c r="AB52" i="3"/>
  <c r="M52" i="3" s="1"/>
  <c r="AD51" i="3"/>
  <c r="AB51" i="3"/>
  <c r="AH51" i="3" s="1"/>
  <c r="M51" i="3"/>
  <c r="AD50" i="3"/>
  <c r="AB50" i="3"/>
  <c r="AC50" i="3" s="1"/>
  <c r="AD49" i="3"/>
  <c r="AB49" i="3"/>
  <c r="AC49" i="3" s="1"/>
  <c r="AD48" i="3"/>
  <c r="AB48" i="3"/>
  <c r="AD47" i="3"/>
  <c r="AB47" i="3"/>
  <c r="AH47" i="3" s="1"/>
  <c r="AD46" i="3"/>
  <c r="AB46" i="3"/>
  <c r="AC46" i="3" s="1"/>
  <c r="M46" i="3"/>
  <c r="AD45" i="3"/>
  <c r="AB45" i="3"/>
  <c r="M45" i="3" s="1"/>
  <c r="AD44" i="3"/>
  <c r="AB44" i="3"/>
  <c r="M44" i="3" s="1"/>
  <c r="AD43" i="3"/>
  <c r="AB43" i="3"/>
  <c r="AH43" i="3" s="1"/>
  <c r="AD42" i="3"/>
  <c r="AB42" i="3"/>
  <c r="AC42" i="3" s="1"/>
  <c r="AD41" i="3"/>
  <c r="AB41" i="3"/>
  <c r="AH41" i="3" s="1"/>
  <c r="AD40" i="3"/>
  <c r="AB40" i="3"/>
  <c r="AH40" i="3" s="1"/>
  <c r="AD39" i="3"/>
  <c r="AB39" i="3"/>
  <c r="M39" i="3" s="1"/>
  <c r="AD38" i="3"/>
  <c r="AB38" i="3"/>
  <c r="AE38" i="3" s="1"/>
  <c r="AD37" i="3"/>
  <c r="AB37" i="3"/>
  <c r="M37" i="3" s="1"/>
  <c r="AD36" i="3"/>
  <c r="AB36" i="3"/>
  <c r="AH36" i="3" s="1"/>
  <c r="AD35" i="3"/>
  <c r="AB35" i="3"/>
  <c r="M35" i="3" s="1"/>
  <c r="AD34" i="3"/>
  <c r="AB34" i="3"/>
  <c r="AC34" i="3" s="1"/>
  <c r="AD33" i="3"/>
  <c r="AB33" i="3"/>
  <c r="AH33" i="3" s="1"/>
  <c r="AD32" i="3"/>
  <c r="AB32" i="3"/>
  <c r="AH32" i="3" s="1"/>
  <c r="AD31" i="3"/>
  <c r="AB31" i="3"/>
  <c r="AE31" i="3" s="1"/>
  <c r="AD30" i="3"/>
  <c r="AB30" i="3"/>
  <c r="M30" i="3" s="1"/>
  <c r="AD29" i="3"/>
  <c r="AB29" i="3"/>
  <c r="M29" i="3" s="1"/>
  <c r="AD28" i="3"/>
  <c r="AB28" i="3"/>
  <c r="AH28" i="3" s="1"/>
  <c r="AD27" i="3"/>
  <c r="AB27" i="3"/>
  <c r="AH27" i="3" s="1"/>
  <c r="AD26" i="3"/>
  <c r="AB26" i="3"/>
  <c r="AC26" i="3" s="1"/>
  <c r="AD25" i="3"/>
  <c r="AB25" i="3"/>
  <c r="AH25" i="3" s="1"/>
  <c r="AD24" i="3"/>
  <c r="AB24" i="3"/>
  <c r="M24" i="3" s="1"/>
  <c r="AD23" i="3"/>
  <c r="AB23" i="3"/>
  <c r="M23" i="3" s="1"/>
  <c r="AD22" i="3"/>
  <c r="AB22" i="3"/>
  <c r="M22" i="3" s="1"/>
  <c r="AD21" i="3"/>
  <c r="AB21" i="3"/>
  <c r="M21" i="3" s="1"/>
  <c r="AD20" i="3"/>
  <c r="AB20" i="3"/>
  <c r="AH20" i="3" s="1"/>
  <c r="M20" i="3"/>
  <c r="AD19" i="3"/>
  <c r="AB19" i="3"/>
  <c r="AH19" i="3" s="1"/>
  <c r="AD18" i="3"/>
  <c r="AB18" i="3"/>
  <c r="AE18" i="3" s="1"/>
  <c r="AD17" i="3"/>
  <c r="AB17" i="3"/>
  <c r="AC17" i="3" s="1"/>
  <c r="AD16" i="3"/>
  <c r="AB16" i="3"/>
  <c r="AC16" i="3" s="1"/>
  <c r="AD15" i="3"/>
  <c r="AB15" i="3"/>
  <c r="M15" i="3" s="1"/>
  <c r="AD14" i="3"/>
  <c r="AB14" i="3"/>
  <c r="AD13" i="3"/>
  <c r="AB13" i="3"/>
  <c r="M13" i="3" s="1"/>
  <c r="AD12" i="3"/>
  <c r="AB12" i="3"/>
  <c r="AH12" i="3" s="1"/>
  <c r="AD11" i="3"/>
  <c r="AB11" i="3"/>
  <c r="AH11" i="3" s="1"/>
  <c r="AE81" i="3" l="1"/>
  <c r="M36" i="3"/>
  <c r="M47" i="3"/>
  <c r="M126" i="3"/>
  <c r="M182" i="3"/>
  <c r="AE82" i="3"/>
  <c r="AE98" i="3"/>
  <c r="AI98" i="3" s="1"/>
  <c r="AE126" i="3"/>
  <c r="AE128" i="3"/>
  <c r="AI128" i="3" s="1"/>
  <c r="AE181" i="3"/>
  <c r="M175" i="3"/>
  <c r="M218" i="3"/>
  <c r="AE192" i="3"/>
  <c r="AE122" i="3"/>
  <c r="M230" i="3"/>
  <c r="M262" i="3"/>
  <c r="M285" i="3"/>
  <c r="AE216" i="3"/>
  <c r="AE227" i="3"/>
  <c r="M198" i="3"/>
  <c r="M209" i="3"/>
  <c r="AE233" i="3"/>
  <c r="AI233" i="3" s="1"/>
  <c r="M31" i="3"/>
  <c r="M132" i="3"/>
  <c r="M231" i="3"/>
  <c r="AE217" i="3"/>
  <c r="AE110" i="3"/>
  <c r="AE228" i="3"/>
  <c r="AE97" i="3"/>
  <c r="M156" i="3"/>
  <c r="M253" i="3"/>
  <c r="M286" i="3"/>
  <c r="AE119" i="3"/>
  <c r="AE229" i="3"/>
  <c r="AF229" i="3" s="1"/>
  <c r="AG229" i="3" s="1"/>
  <c r="AE154" i="3"/>
  <c r="AF154" i="3" s="1"/>
  <c r="AG154" i="3" s="1"/>
  <c r="AE239" i="3"/>
  <c r="AI239" i="3" s="1"/>
  <c r="AE253" i="3"/>
  <c r="AE131" i="3"/>
  <c r="AI131" i="3" s="1"/>
  <c r="AE143" i="3"/>
  <c r="AI143" i="3" s="1"/>
  <c r="AE157" i="3"/>
  <c r="AE57" i="3"/>
  <c r="AE158" i="3"/>
  <c r="AI158" i="3" s="1"/>
  <c r="AE287" i="3"/>
  <c r="AE120" i="3"/>
  <c r="AI120" i="3" s="1"/>
  <c r="AE240" i="3"/>
  <c r="AI240" i="3" s="1"/>
  <c r="AE24" i="3"/>
  <c r="AF24" i="3" s="1"/>
  <c r="AG24" i="3" s="1"/>
  <c r="AE25" i="3"/>
  <c r="AF25" i="3" s="1"/>
  <c r="AG25" i="3" s="1"/>
  <c r="AE36" i="3"/>
  <c r="AF36" i="3" s="1"/>
  <c r="AG36" i="3" s="1"/>
  <c r="AE156" i="3"/>
  <c r="AF156" i="3" s="1"/>
  <c r="AG156" i="3" s="1"/>
  <c r="AE277" i="3"/>
  <c r="M28" i="3"/>
  <c r="AE58" i="3"/>
  <c r="AE159" i="3"/>
  <c r="AE292" i="3"/>
  <c r="AI292" i="3" s="1"/>
  <c r="AE264" i="3"/>
  <c r="AE132" i="3"/>
  <c r="AE276" i="3"/>
  <c r="AF276" i="3" s="1"/>
  <c r="AG276" i="3" s="1"/>
  <c r="M206" i="3"/>
  <c r="M238" i="3"/>
  <c r="AE170" i="3"/>
  <c r="AF170" i="3" s="1"/>
  <c r="AG170" i="3" s="1"/>
  <c r="AE255" i="3"/>
  <c r="AI255" i="3" s="1"/>
  <c r="AE55" i="3"/>
  <c r="AE220" i="3"/>
  <c r="AI220" i="3" s="1"/>
  <c r="AE160" i="3"/>
  <c r="AF160" i="3" s="1"/>
  <c r="AG160" i="3" s="1"/>
  <c r="AE59" i="3"/>
  <c r="AI59" i="3" s="1"/>
  <c r="AE266" i="3"/>
  <c r="AF266" i="3" s="1"/>
  <c r="AG266" i="3" s="1"/>
  <c r="AE168" i="3"/>
  <c r="AI168" i="3" s="1"/>
  <c r="AE223" i="3"/>
  <c r="AF223" i="3" s="1"/>
  <c r="AG223" i="3" s="1"/>
  <c r="AE270" i="3"/>
  <c r="AF270" i="3" s="1"/>
  <c r="AG270" i="3" s="1"/>
  <c r="M137" i="3"/>
  <c r="AE15" i="3"/>
  <c r="AI15" i="3" s="1"/>
  <c r="AE125" i="3"/>
  <c r="AF125" i="3" s="1"/>
  <c r="AG125" i="3" s="1"/>
  <c r="AE169" i="3"/>
  <c r="AF169" i="3" s="1"/>
  <c r="AG169" i="3" s="1"/>
  <c r="AE273" i="3"/>
  <c r="AF273" i="3" s="1"/>
  <c r="AG273" i="3" s="1"/>
  <c r="AE127" i="3"/>
  <c r="AF127" i="3" s="1"/>
  <c r="AG127" i="3" s="1"/>
  <c r="AE193" i="3"/>
  <c r="AF193" i="3" s="1"/>
  <c r="AG193" i="3" s="1"/>
  <c r="AE244" i="3"/>
  <c r="AE71" i="3"/>
  <c r="AI71" i="3" s="1"/>
  <c r="AE144" i="3"/>
  <c r="AI144" i="3" s="1"/>
  <c r="M283" i="3"/>
  <c r="AE37" i="3"/>
  <c r="AF37" i="3" s="1"/>
  <c r="AG37" i="3" s="1"/>
  <c r="AE101" i="3"/>
  <c r="AF101" i="3" s="1"/>
  <c r="AG101" i="3" s="1"/>
  <c r="AE147" i="3"/>
  <c r="AF147" i="3" s="1"/>
  <c r="AG147" i="3" s="1"/>
  <c r="AE197" i="3"/>
  <c r="AI197" i="3" s="1"/>
  <c r="AE245" i="3"/>
  <c r="AF245" i="3" s="1"/>
  <c r="AG245" i="3" s="1"/>
  <c r="M4" i="3"/>
  <c r="AE179" i="3"/>
  <c r="AI179" i="3" s="1"/>
  <c r="AE27" i="3"/>
  <c r="AF27" i="3" s="1"/>
  <c r="AG27" i="3" s="1"/>
  <c r="AE171" i="3"/>
  <c r="AE23" i="3"/>
  <c r="AI23" i="3" s="1"/>
  <c r="AE291" i="3"/>
  <c r="AF291" i="3" s="1"/>
  <c r="AG291" i="3" s="1"/>
  <c r="AE84" i="3"/>
  <c r="AI84" i="3" s="1"/>
  <c r="AE241" i="3"/>
  <c r="AF241" i="3" s="1"/>
  <c r="AG241" i="3" s="1"/>
  <c r="AE33" i="3"/>
  <c r="AI33" i="3" s="1"/>
  <c r="AE35" i="3"/>
  <c r="AF35" i="3" s="1"/>
  <c r="AG35" i="3" s="1"/>
  <c r="AE145" i="3"/>
  <c r="AE146" i="3"/>
  <c r="AF146" i="3" s="1"/>
  <c r="AG146" i="3" s="1"/>
  <c r="AE39" i="3"/>
  <c r="AF39" i="3" s="1"/>
  <c r="AG39" i="3" s="1"/>
  <c r="AE251" i="3"/>
  <c r="AF251" i="3" s="1"/>
  <c r="AG251" i="3" s="1"/>
  <c r="AE235" i="3"/>
  <c r="AI235" i="3" s="1"/>
  <c r="AE26" i="3"/>
  <c r="AF26" i="3" s="1"/>
  <c r="AG26" i="3" s="1"/>
  <c r="AE180" i="3"/>
  <c r="AI180" i="3" s="1"/>
  <c r="AE83" i="3"/>
  <c r="AI83" i="3" s="1"/>
  <c r="AE28" i="3"/>
  <c r="AF28" i="3" s="1"/>
  <c r="AG28" i="3" s="1"/>
  <c r="AE297" i="3"/>
  <c r="AF297" i="3" s="1"/>
  <c r="AG297" i="3" s="1"/>
  <c r="AE243" i="3"/>
  <c r="AI243" i="3" s="1"/>
  <c r="AE102" i="3"/>
  <c r="AF102" i="3" s="1"/>
  <c r="AG102" i="3" s="1"/>
  <c r="AE201" i="3"/>
  <c r="AF201" i="3" s="1"/>
  <c r="AG201" i="3" s="1"/>
  <c r="AE249" i="3"/>
  <c r="AF249" i="3" s="1"/>
  <c r="AG249" i="3" s="1"/>
  <c r="M241" i="3"/>
  <c r="AE47" i="3"/>
  <c r="AI47" i="3" s="1"/>
  <c r="AE104" i="3"/>
  <c r="AF104" i="3" s="1"/>
  <c r="AG104" i="3" s="1"/>
  <c r="AE153" i="3"/>
  <c r="AF153" i="3" s="1"/>
  <c r="AG153" i="3" s="1"/>
  <c r="AE203" i="3"/>
  <c r="AE252" i="3"/>
  <c r="AF252" i="3" s="1"/>
  <c r="AG252" i="3" s="1"/>
  <c r="AE290" i="3"/>
  <c r="AI290" i="3" s="1"/>
  <c r="AE51" i="3"/>
  <c r="AI51" i="3" s="1"/>
  <c r="AE75" i="3"/>
  <c r="AI75" i="3" s="1"/>
  <c r="AE99" i="3"/>
  <c r="AI99" i="3" s="1"/>
  <c r="AE123" i="3"/>
  <c r="AI123" i="3" s="1"/>
  <c r="AE219" i="3"/>
  <c r="AI219" i="3" s="1"/>
  <c r="AE267" i="3"/>
  <c r="AI267" i="3" s="1"/>
  <c r="AE52" i="3"/>
  <c r="AF52" i="3" s="1"/>
  <c r="AG52" i="3" s="1"/>
  <c r="AE172" i="3"/>
  <c r="AI172" i="3" s="1"/>
  <c r="AE196" i="3"/>
  <c r="AF196" i="3" s="1"/>
  <c r="AG196" i="3" s="1"/>
  <c r="AE268" i="3"/>
  <c r="AI268" i="3" s="1"/>
  <c r="AE29" i="3"/>
  <c r="AI29" i="3" s="1"/>
  <c r="AE173" i="3"/>
  <c r="AI173" i="3" s="1"/>
  <c r="AE269" i="3"/>
  <c r="AF269" i="3" s="1"/>
  <c r="AG269" i="3" s="1"/>
  <c r="AE293" i="3"/>
  <c r="AF293" i="3" s="1"/>
  <c r="AG293" i="3" s="1"/>
  <c r="AE30" i="3"/>
  <c r="AF30" i="3" s="1"/>
  <c r="AG30" i="3" s="1"/>
  <c r="AE54" i="3"/>
  <c r="AI54" i="3" s="1"/>
  <c r="AE78" i="3"/>
  <c r="AI78" i="3" s="1"/>
  <c r="AE150" i="3"/>
  <c r="AF150" i="3" s="1"/>
  <c r="AG150" i="3" s="1"/>
  <c r="AE174" i="3"/>
  <c r="AF174" i="3" s="1"/>
  <c r="AG174" i="3" s="1"/>
  <c r="AE246" i="3"/>
  <c r="AI246" i="3" s="1"/>
  <c r="AE294" i="3"/>
  <c r="AF294" i="3" s="1"/>
  <c r="AG294" i="3" s="1"/>
  <c r="AE79" i="3"/>
  <c r="AF79" i="3" s="1"/>
  <c r="AG79" i="3" s="1"/>
  <c r="AE151" i="3"/>
  <c r="AI151" i="3" s="1"/>
  <c r="AE271" i="3"/>
  <c r="AF271" i="3" s="1"/>
  <c r="AG271" i="3" s="1"/>
  <c r="AE295" i="3"/>
  <c r="AF295" i="3" s="1"/>
  <c r="AG295" i="3" s="1"/>
  <c r="M78" i="3"/>
  <c r="M99" i="3"/>
  <c r="M165" i="3"/>
  <c r="M208" i="3"/>
  <c r="AE32" i="3"/>
  <c r="AI32" i="3" s="1"/>
  <c r="AE176" i="3"/>
  <c r="AI176" i="3" s="1"/>
  <c r="AE200" i="3"/>
  <c r="AI200" i="3" s="1"/>
  <c r="AE42" i="3"/>
  <c r="AF42" i="3" s="1"/>
  <c r="AG42" i="3" s="1"/>
  <c r="AE66" i="3"/>
  <c r="AI66" i="3" s="1"/>
  <c r="AE90" i="3"/>
  <c r="AF90" i="3" s="1"/>
  <c r="AG90" i="3" s="1"/>
  <c r="AE114" i="3"/>
  <c r="AI114" i="3" s="1"/>
  <c r="AE162" i="3"/>
  <c r="AI162" i="3" s="1"/>
  <c r="AE234" i="3"/>
  <c r="AF234" i="3" s="1"/>
  <c r="AG234" i="3" s="1"/>
  <c r="AE258" i="3"/>
  <c r="AF258" i="3" s="1"/>
  <c r="AG258" i="3" s="1"/>
  <c r="AE95" i="3"/>
  <c r="AI95" i="3" s="1"/>
  <c r="AE289" i="3"/>
  <c r="AI289" i="3" s="1"/>
  <c r="AE74" i="3"/>
  <c r="AI74" i="3" s="1"/>
  <c r="AE129" i="3"/>
  <c r="AF129" i="3" s="1"/>
  <c r="AG129" i="3" s="1"/>
  <c r="AE34" i="3"/>
  <c r="AF34" i="3" s="1"/>
  <c r="AG34" i="3" s="1"/>
  <c r="AE130" i="3"/>
  <c r="AI130" i="3" s="1"/>
  <c r="AE13" i="3"/>
  <c r="AI13" i="3" s="1"/>
  <c r="AE301" i="3"/>
  <c r="AF301" i="3" s="1"/>
  <c r="AG301" i="3" s="1"/>
  <c r="AE207" i="3"/>
  <c r="AF207" i="3" s="1"/>
  <c r="AG207" i="3" s="1"/>
  <c r="AE19" i="3"/>
  <c r="AI19" i="3" s="1"/>
  <c r="AE67" i="3"/>
  <c r="AI67" i="3" s="1"/>
  <c r="AE115" i="3"/>
  <c r="AI115" i="3" s="1"/>
  <c r="AE163" i="3"/>
  <c r="AI163" i="3" s="1"/>
  <c r="AE187" i="3"/>
  <c r="AI187" i="3" s="1"/>
  <c r="AE211" i="3"/>
  <c r="AI211" i="3" s="1"/>
  <c r="AE259" i="3"/>
  <c r="AI259" i="3" s="1"/>
  <c r="AE283" i="3"/>
  <c r="AI283" i="3" s="1"/>
  <c r="AE307" i="3"/>
  <c r="AI307" i="3" s="1"/>
  <c r="AE300" i="3"/>
  <c r="AI300" i="3" s="1"/>
  <c r="AE133" i="3"/>
  <c r="AI133" i="3" s="1"/>
  <c r="AE257" i="3"/>
  <c r="AF257" i="3" s="1"/>
  <c r="AG257" i="3" s="1"/>
  <c r="AE236" i="3"/>
  <c r="AI236" i="3" s="1"/>
  <c r="AE226" i="3"/>
  <c r="AI226" i="3" s="1"/>
  <c r="AE11" i="3"/>
  <c r="AI11" i="3" s="1"/>
  <c r="AE107" i="3"/>
  <c r="AF107" i="3" s="1"/>
  <c r="AG107" i="3" s="1"/>
  <c r="AE86" i="3"/>
  <c r="AI86" i="3" s="1"/>
  <c r="AE278" i="3"/>
  <c r="AI278" i="3" s="1"/>
  <c r="AE87" i="3"/>
  <c r="AI87" i="3" s="1"/>
  <c r="AE111" i="3"/>
  <c r="AF111" i="3" s="1"/>
  <c r="AG111" i="3" s="1"/>
  <c r="AE279" i="3"/>
  <c r="AI279" i="3" s="1"/>
  <c r="AE136" i="3"/>
  <c r="AI136" i="3" s="1"/>
  <c r="AE184" i="3"/>
  <c r="AI184" i="3" s="1"/>
  <c r="AE232" i="3"/>
  <c r="AI232" i="3" s="1"/>
  <c r="AE41" i="3"/>
  <c r="AI41" i="3" s="1"/>
  <c r="AE89" i="3"/>
  <c r="AI89" i="3" s="1"/>
  <c r="AE113" i="3"/>
  <c r="AE161" i="3"/>
  <c r="AI161" i="3" s="1"/>
  <c r="AE43" i="3"/>
  <c r="AI43" i="3" s="1"/>
  <c r="AE20" i="3"/>
  <c r="AF20" i="3" s="1"/>
  <c r="AG20" i="3" s="1"/>
  <c r="AE92" i="3"/>
  <c r="AF92" i="3" s="1"/>
  <c r="AG92" i="3" s="1"/>
  <c r="AE140" i="3"/>
  <c r="AI140" i="3" s="1"/>
  <c r="AE188" i="3"/>
  <c r="AI188" i="3" s="1"/>
  <c r="AE21" i="3"/>
  <c r="AI21" i="3" s="1"/>
  <c r="AE45" i="3"/>
  <c r="AE93" i="3"/>
  <c r="AF93" i="3" s="1"/>
  <c r="AG93" i="3" s="1"/>
  <c r="AE117" i="3"/>
  <c r="AI117" i="3" s="1"/>
  <c r="AE165" i="3"/>
  <c r="AF165" i="3" s="1"/>
  <c r="AG165" i="3" s="1"/>
  <c r="AE189" i="3"/>
  <c r="AI189" i="3" s="1"/>
  <c r="AE213" i="3"/>
  <c r="AF213" i="3" s="1"/>
  <c r="AG213" i="3" s="1"/>
  <c r="AE261" i="3"/>
  <c r="AF261" i="3" s="1"/>
  <c r="AG261" i="3" s="1"/>
  <c r="AE309" i="3"/>
  <c r="AF309" i="3" s="1"/>
  <c r="AG309" i="3" s="1"/>
  <c r="AE225" i="3"/>
  <c r="AI225" i="3" s="1"/>
  <c r="AH144" i="3"/>
  <c r="AE12" i="3"/>
  <c r="AF12" i="3" s="1"/>
  <c r="AG12" i="3" s="1"/>
  <c r="AE108" i="3"/>
  <c r="AF108" i="3" s="1"/>
  <c r="AG108" i="3" s="1"/>
  <c r="AE204" i="3"/>
  <c r="AI204" i="3" s="1"/>
  <c r="AE62" i="3"/>
  <c r="AF62" i="3" s="1"/>
  <c r="AG62" i="3" s="1"/>
  <c r="AE134" i="3"/>
  <c r="AI134" i="3" s="1"/>
  <c r="AE302" i="3"/>
  <c r="AF302" i="3" s="1"/>
  <c r="AG302" i="3" s="1"/>
  <c r="AE63" i="3"/>
  <c r="AI63" i="3" s="1"/>
  <c r="AE303" i="3"/>
  <c r="AI303" i="3" s="1"/>
  <c r="AE40" i="3"/>
  <c r="AF40" i="3" s="1"/>
  <c r="AG40" i="3" s="1"/>
  <c r="AE112" i="3"/>
  <c r="AI112" i="3" s="1"/>
  <c r="AE256" i="3"/>
  <c r="AI256" i="3" s="1"/>
  <c r="AE65" i="3"/>
  <c r="AF65" i="3" s="1"/>
  <c r="AG65" i="3" s="1"/>
  <c r="AE185" i="3"/>
  <c r="AF185" i="3" s="1"/>
  <c r="AG185" i="3" s="1"/>
  <c r="AE305" i="3"/>
  <c r="AI305" i="3" s="1"/>
  <c r="AE44" i="3"/>
  <c r="AF44" i="3" s="1"/>
  <c r="AG44" i="3" s="1"/>
  <c r="AE68" i="3"/>
  <c r="AF68" i="3" s="1"/>
  <c r="AG68" i="3" s="1"/>
  <c r="AE116" i="3"/>
  <c r="AI116" i="3" s="1"/>
  <c r="AE164" i="3"/>
  <c r="AF164" i="3" s="1"/>
  <c r="AG164" i="3" s="1"/>
  <c r="AE212" i="3"/>
  <c r="AI212" i="3" s="1"/>
  <c r="AE22" i="3"/>
  <c r="AF22" i="3" s="1"/>
  <c r="AG22" i="3" s="1"/>
  <c r="AE46" i="3"/>
  <c r="AI46" i="3" s="1"/>
  <c r="AE70" i="3"/>
  <c r="AI70" i="3" s="1"/>
  <c r="AE94" i="3"/>
  <c r="AI94" i="3" s="1"/>
  <c r="AE166" i="3"/>
  <c r="AI166" i="3" s="1"/>
  <c r="AE190" i="3"/>
  <c r="AI190" i="3" s="1"/>
  <c r="AE214" i="3"/>
  <c r="AI214" i="3" s="1"/>
  <c r="AE238" i="3"/>
  <c r="AI238" i="3" s="1"/>
  <c r="AE262" i="3"/>
  <c r="AI262" i="3" s="1"/>
  <c r="AE286" i="3"/>
  <c r="AI286" i="3" s="1"/>
  <c r="AE310" i="3"/>
  <c r="AF310" i="3" s="1"/>
  <c r="AG310" i="3" s="1"/>
  <c r="AI113" i="3"/>
  <c r="M38" i="3"/>
  <c r="M59" i="3"/>
  <c r="M70" i="3"/>
  <c r="M101" i="3"/>
  <c r="M139" i="3"/>
  <c r="M54" i="3"/>
  <c r="M277" i="3"/>
  <c r="M310" i="3"/>
  <c r="AI244" i="3"/>
  <c r="AC51" i="3"/>
  <c r="M205" i="3"/>
  <c r="AH261" i="3"/>
  <c r="AF98" i="3"/>
  <c r="AG98" i="3" s="1"/>
  <c r="AH16" i="3"/>
  <c r="AF49" i="3"/>
  <c r="AG49" i="3" s="1"/>
  <c r="M68" i="3"/>
  <c r="AF182" i="3"/>
  <c r="AG182" i="3" s="1"/>
  <c r="M263" i="3"/>
  <c r="AI264" i="3"/>
  <c r="AI216" i="3"/>
  <c r="AI88" i="3"/>
  <c r="AI16" i="3"/>
  <c r="AF285" i="3"/>
  <c r="AG285" i="3" s="1"/>
  <c r="AH90" i="3"/>
  <c r="AH99" i="3"/>
  <c r="M32" i="3"/>
  <c r="AI186" i="3"/>
  <c r="AF159" i="3"/>
  <c r="AG159" i="3" s="1"/>
  <c r="AI280" i="3"/>
  <c r="AI126" i="3"/>
  <c r="AI110" i="3"/>
  <c r="AF14" i="3"/>
  <c r="AG14" i="3" s="1"/>
  <c r="AF121" i="3"/>
  <c r="AG121" i="3" s="1"/>
  <c r="AF17" i="3"/>
  <c r="AG17" i="3" s="1"/>
  <c r="AI61" i="3"/>
  <c r="AI182" i="3"/>
  <c r="AH42" i="3"/>
  <c r="M299" i="3"/>
  <c r="AF277" i="3"/>
  <c r="AG277" i="3" s="1"/>
  <c r="AI253" i="3"/>
  <c r="AF181" i="3"/>
  <c r="AG181" i="3" s="1"/>
  <c r="AF157" i="3"/>
  <c r="AG157" i="3" s="1"/>
  <c r="AF61" i="3"/>
  <c r="AG61" i="3" s="1"/>
  <c r="AF53" i="3"/>
  <c r="AG53" i="3" s="1"/>
  <c r="AI224" i="3"/>
  <c r="AI18" i="3"/>
  <c r="M12" i="3"/>
  <c r="M43" i="3"/>
  <c r="M93" i="3"/>
  <c r="AI276" i="3"/>
  <c r="AI60" i="3"/>
  <c r="AH50" i="3"/>
  <c r="M63" i="3"/>
  <c r="M84" i="3"/>
  <c r="AF227" i="3"/>
  <c r="AG227" i="3" s="1"/>
  <c r="AI96" i="3"/>
  <c r="AI118" i="3"/>
  <c r="AI69" i="3"/>
  <c r="AF198" i="3"/>
  <c r="AG198" i="3" s="1"/>
  <c r="AI296" i="3"/>
  <c r="AI248" i="3"/>
  <c r="AF76" i="3"/>
  <c r="AG76" i="3" s="1"/>
  <c r="AC182" i="3"/>
  <c r="AC281" i="3"/>
  <c r="AH182" i="3"/>
  <c r="AH88" i="3"/>
  <c r="AC95" i="3"/>
  <c r="AH110" i="3"/>
  <c r="AC158" i="3"/>
  <c r="AC220" i="3"/>
  <c r="AH309" i="3"/>
  <c r="AC89" i="3"/>
  <c r="AH29" i="3"/>
  <c r="AH95" i="3"/>
  <c r="AH130" i="3"/>
  <c r="AH220" i="3"/>
  <c r="M55" i="3"/>
  <c r="M96" i="3"/>
  <c r="M103" i="3"/>
  <c r="M159" i="3"/>
  <c r="M167" i="3"/>
  <c r="AH184" i="3"/>
  <c r="M221" i="3"/>
  <c r="AH238" i="3"/>
  <c r="AH227" i="3"/>
  <c r="AC73" i="3"/>
  <c r="AC167" i="3"/>
  <c r="AH48" i="3"/>
  <c r="AH293" i="3"/>
  <c r="AC97" i="3"/>
  <c r="AH151" i="3"/>
  <c r="AC286" i="3"/>
  <c r="AC27" i="3"/>
  <c r="AC164" i="3"/>
  <c r="AH281" i="3"/>
  <c r="AH201" i="3"/>
  <c r="AH276" i="3"/>
  <c r="AH65" i="3"/>
  <c r="AH104" i="3"/>
  <c r="AH168" i="3"/>
  <c r="AH214" i="3"/>
  <c r="M14" i="3"/>
  <c r="AC32" i="3"/>
  <c r="M67" i="3"/>
  <c r="M75" i="3"/>
  <c r="M153" i="3"/>
  <c r="M162" i="3"/>
  <c r="M180" i="3"/>
  <c r="M188" i="3"/>
  <c r="AH294" i="3"/>
  <c r="AC103" i="3"/>
  <c r="AF48" i="3"/>
  <c r="AG48" i="3" s="1"/>
  <c r="AH117" i="3"/>
  <c r="M118" i="3"/>
  <c r="M127" i="3"/>
  <c r="AH188" i="3"/>
  <c r="AC119" i="3"/>
  <c r="AC94" i="3"/>
  <c r="AH147" i="3"/>
  <c r="M27" i="3"/>
  <c r="M60" i="3"/>
  <c r="AH76" i="3"/>
  <c r="AH107" i="3"/>
  <c r="M172" i="3"/>
  <c r="M189" i="3"/>
  <c r="AF217" i="3"/>
  <c r="AG217" i="3" s="1"/>
  <c r="M236" i="3"/>
  <c r="AC262" i="3"/>
  <c r="M307" i="3"/>
  <c r="AH221" i="3"/>
  <c r="AC100" i="3"/>
  <c r="AH105" i="3"/>
  <c r="AC124" i="3"/>
  <c r="AH169" i="3"/>
  <c r="AH270" i="3"/>
  <c r="AH302" i="3"/>
  <c r="AC310" i="3"/>
  <c r="AC72" i="3"/>
  <c r="AH49" i="3"/>
  <c r="AH60" i="3"/>
  <c r="AI72" i="3"/>
  <c r="AC67" i="3"/>
  <c r="AH84" i="3"/>
  <c r="AC96" i="3"/>
  <c r="M106" i="3"/>
  <c r="AH118" i="3"/>
  <c r="M170" i="3"/>
  <c r="AH203" i="3"/>
  <c r="AH216" i="3"/>
  <c r="AC246" i="3"/>
  <c r="AH259" i="3"/>
  <c r="M56" i="3"/>
  <c r="M80" i="3"/>
  <c r="AF100" i="3"/>
  <c r="AG100" i="3" s="1"/>
  <c r="AF124" i="3"/>
  <c r="AG124" i="3" s="1"/>
  <c r="M160" i="3"/>
  <c r="M204" i="3"/>
  <c r="AH229" i="3"/>
  <c r="M278" i="3"/>
  <c r="AH66" i="3"/>
  <c r="AC204" i="3"/>
  <c r="AH18" i="3"/>
  <c r="AF56" i="3"/>
  <c r="AG56" i="3" s="1"/>
  <c r="AH80" i="3"/>
  <c r="AH119" i="3"/>
  <c r="AC230" i="3"/>
  <c r="AH123" i="3"/>
  <c r="AH96" i="3"/>
  <c r="AH106" i="3"/>
  <c r="AH44" i="3"/>
  <c r="AH56" i="3"/>
  <c r="AI80" i="3"/>
  <c r="AH113" i="3"/>
  <c r="M120" i="3"/>
  <c r="AI160" i="3"/>
  <c r="AH171" i="3"/>
  <c r="AC198" i="3"/>
  <c r="AH217" i="3"/>
  <c r="M224" i="3"/>
  <c r="AC254" i="3"/>
  <c r="AH233" i="3"/>
  <c r="AF105" i="3"/>
  <c r="AG105" i="3" s="1"/>
  <c r="AI285" i="3"/>
  <c r="AC224" i="3"/>
  <c r="AF230" i="3"/>
  <c r="AG230" i="3" s="1"/>
  <c r="AI254" i="3"/>
  <c r="AH285" i="3"/>
  <c r="AC302" i="3"/>
  <c r="AC172" i="3"/>
  <c r="AC192" i="3"/>
  <c r="AH198" i="3"/>
  <c r="AH230" i="3"/>
  <c r="AC118" i="3"/>
  <c r="AH45" i="3"/>
  <c r="AI97" i="3"/>
  <c r="AH81" i="3"/>
  <c r="M98" i="3"/>
  <c r="M121" i="3"/>
  <c r="AC161" i="3"/>
  <c r="AI230" i="3"/>
  <c r="AC248" i="3"/>
  <c r="AH254" i="3"/>
  <c r="AC196" i="3"/>
  <c r="AC75" i="3"/>
  <c r="AH102" i="3"/>
  <c r="M150" i="3"/>
  <c r="AI192" i="3"/>
  <c r="AI205" i="3"/>
  <c r="AH57" i="3"/>
  <c r="AH108" i="3"/>
  <c r="AC121" i="3"/>
  <c r="AH166" i="3"/>
  <c r="AH205" i="3"/>
  <c r="AH219" i="3"/>
  <c r="AF237" i="3"/>
  <c r="AG237" i="3" s="1"/>
  <c r="AH124" i="3"/>
  <c r="AI27" i="3"/>
  <c r="AH93" i="3"/>
  <c r="AH114" i="3"/>
  <c r="AF64" i="3"/>
  <c r="AG64" i="3" s="1"/>
  <c r="AI82" i="3"/>
  <c r="AC278" i="3"/>
  <c r="M16" i="3"/>
  <c r="AH58" i="3"/>
  <c r="AH64" i="3"/>
  <c r="M76" i="3"/>
  <c r="AH82" i="3"/>
  <c r="AC116" i="3"/>
  <c r="AH121" i="3"/>
  <c r="AH187" i="3"/>
  <c r="AH200" i="3"/>
  <c r="M214" i="3"/>
  <c r="M232" i="3"/>
  <c r="AH237" i="3"/>
  <c r="AC244" i="3"/>
  <c r="M294" i="3"/>
  <c r="AH72" i="3"/>
  <c r="AH74" i="3"/>
  <c r="AC41" i="3"/>
  <c r="AH52" i="3"/>
  <c r="AI121" i="3"/>
  <c r="AH157" i="3"/>
  <c r="AH26" i="3"/>
  <c r="AH185" i="3"/>
  <c r="AI58" i="3"/>
  <c r="AH34" i="3"/>
  <c r="AH116" i="3"/>
  <c r="AC144" i="3"/>
  <c r="M158" i="3"/>
  <c r="AH173" i="3"/>
  <c r="AH111" i="3"/>
  <c r="AH160" i="3"/>
  <c r="AH21" i="3"/>
  <c r="AH15" i="3"/>
  <c r="AC29" i="3"/>
  <c r="AC59" i="3"/>
  <c r="AC83" i="3"/>
  <c r="AH127" i="3"/>
  <c r="AH269" i="3"/>
  <c r="AF281" i="3"/>
  <c r="AG281" i="3" s="1"/>
  <c r="AH301" i="3"/>
  <c r="AC270" i="3"/>
  <c r="AH163" i="3"/>
  <c r="AH245" i="3"/>
  <c r="M123" i="3"/>
  <c r="M163" i="3"/>
  <c r="AI148" i="3"/>
  <c r="M148" i="3"/>
  <c r="AH148" i="3"/>
  <c r="AC231" i="3"/>
  <c r="AH13" i="3"/>
  <c r="AF50" i="3"/>
  <c r="AG50" i="3" s="1"/>
  <c r="AH62" i="3"/>
  <c r="AI105" i="3"/>
  <c r="AC133" i="3"/>
  <c r="AC138" i="3"/>
  <c r="AH138" i="3"/>
  <c r="AF138" i="3"/>
  <c r="AG138" i="3" s="1"/>
  <c r="AI149" i="3"/>
  <c r="AC149" i="3"/>
  <c r="AH149" i="3"/>
  <c r="AF149" i="3"/>
  <c r="AG149" i="3" s="1"/>
  <c r="AI227" i="3"/>
  <c r="AC306" i="3"/>
  <c r="M306" i="3"/>
  <c r="AF306" i="3"/>
  <c r="AG306" i="3" s="1"/>
  <c r="AH306" i="3"/>
  <c r="AC109" i="3"/>
  <c r="AC148" i="3"/>
  <c r="AH174" i="3"/>
  <c r="AC174" i="3"/>
  <c r="AI31" i="3"/>
  <c r="AC31" i="3"/>
  <c r="AC170" i="3"/>
  <c r="AH143" i="3"/>
  <c r="AC251" i="3"/>
  <c r="AH251" i="3"/>
  <c r="AC282" i="3"/>
  <c r="M282" i="3"/>
  <c r="AI282" i="3"/>
  <c r="AH282" i="3"/>
  <c r="AH31" i="3"/>
  <c r="AC21" i="3"/>
  <c r="AC39" i="3"/>
  <c r="AC62" i="3"/>
  <c r="M79" i="3"/>
  <c r="M87" i="3"/>
  <c r="M91" i="3"/>
  <c r="AH228" i="3"/>
  <c r="M228" i="3"/>
  <c r="AH272" i="3"/>
  <c r="AC272" i="3"/>
  <c r="M272" i="3"/>
  <c r="AI272" i="3"/>
  <c r="M289" i="3"/>
  <c r="AH289" i="3"/>
  <c r="AF69" i="3"/>
  <c r="AG69" i="3" s="1"/>
  <c r="AC38" i="3"/>
  <c r="AH180" i="3"/>
  <c r="AH208" i="3"/>
  <c r="AC208" i="3"/>
  <c r="AC241" i="3"/>
  <c r="AC143" i="3"/>
  <c r="AI38" i="3"/>
  <c r="AH38" i="3"/>
  <c r="AI109" i="3"/>
  <c r="AH137" i="3"/>
  <c r="AI137" i="3"/>
  <c r="AI299" i="3"/>
  <c r="AC299" i="3"/>
  <c r="AH299" i="3"/>
  <c r="AI198" i="3"/>
  <c r="AF231" i="3"/>
  <c r="AG231" i="3" s="1"/>
  <c r="M305" i="3"/>
  <c r="AC305" i="3"/>
  <c r="AH86" i="3"/>
  <c r="AF97" i="3"/>
  <c r="AG97" i="3" s="1"/>
  <c r="AC154" i="3"/>
  <c r="M154" i="3"/>
  <c r="AF199" i="3"/>
  <c r="AG199" i="3" s="1"/>
  <c r="AC199" i="3"/>
  <c r="AI199" i="3"/>
  <c r="AH199" i="3"/>
  <c r="M199" i="3"/>
  <c r="AC218" i="3"/>
  <c r="AF218" i="3"/>
  <c r="AG218" i="3" s="1"/>
  <c r="AH222" i="3"/>
  <c r="AI222" i="3"/>
  <c r="AC222" i="3"/>
  <c r="AH256" i="3"/>
  <c r="AC256" i="3"/>
  <c r="M17" i="3"/>
  <c r="AC35" i="3"/>
  <c r="AF38" i="3"/>
  <c r="AG38" i="3" s="1"/>
  <c r="AH46" i="3"/>
  <c r="AH70" i="3"/>
  <c r="AC86" i="3"/>
  <c r="AH109" i="3"/>
  <c r="AF118" i="3"/>
  <c r="AG118" i="3" s="1"/>
  <c r="AC195" i="3"/>
  <c r="AF195" i="3"/>
  <c r="AG195" i="3" s="1"/>
  <c r="M195" i="3"/>
  <c r="AI195" i="3"/>
  <c r="AI208" i="3"/>
  <c r="AH231" i="3"/>
  <c r="M252" i="3"/>
  <c r="AH54" i="3"/>
  <c r="AH24" i="3"/>
  <c r="AH176" i="3"/>
  <c r="AH218" i="3"/>
  <c r="AC242" i="3"/>
  <c r="M242" i="3"/>
  <c r="AF242" i="3"/>
  <c r="AG242" i="3" s="1"/>
  <c r="AH242" i="3"/>
  <c r="AH252" i="3"/>
  <c r="AC115" i="3"/>
  <c r="M115" i="3"/>
  <c r="AH128" i="3"/>
  <c r="AC128" i="3"/>
  <c r="AC139" i="3"/>
  <c r="AI139" i="3"/>
  <c r="AH139" i="3"/>
  <c r="AC155" i="3"/>
  <c r="AH155" i="3"/>
  <c r="M155" i="3"/>
  <c r="AC176" i="3"/>
  <c r="AH195" i="3"/>
  <c r="AH209" i="3"/>
  <c r="AI209" i="3"/>
  <c r="AI218" i="3"/>
  <c r="AH257" i="3"/>
  <c r="M268" i="3"/>
  <c r="AC307" i="3"/>
  <c r="AH14" i="3"/>
  <c r="AH17" i="3"/>
  <c r="AH35" i="3"/>
  <c r="AH39" i="3"/>
  <c r="AC18" i="3"/>
  <c r="M18" i="3"/>
  <c r="AC47" i="3"/>
  <c r="AH133" i="3"/>
  <c r="AC186" i="3"/>
  <c r="AF186" i="3"/>
  <c r="AG186" i="3" s="1"/>
  <c r="AH190" i="3"/>
  <c r="AC190" i="3"/>
  <c r="AC209" i="3"/>
  <c r="AI228" i="3"/>
  <c r="AF247" i="3"/>
  <c r="AG247" i="3" s="1"/>
  <c r="AC247" i="3"/>
  <c r="AH247" i="3"/>
  <c r="AI247" i="3"/>
  <c r="M247" i="3"/>
  <c r="AC257" i="3"/>
  <c r="AC268" i="3"/>
  <c r="AF132" i="3"/>
  <c r="AG132" i="3" s="1"/>
  <c r="AC132" i="3"/>
  <c r="AC24" i="3"/>
  <c r="AC137" i="3"/>
  <c r="AC194" i="3"/>
  <c r="AH194" i="3"/>
  <c r="AF194" i="3"/>
  <c r="AG194" i="3" s="1"/>
  <c r="M194" i="3"/>
  <c r="AH78" i="3"/>
  <c r="AC79" i="3"/>
  <c r="AC87" i="3"/>
  <c r="AI91" i="3"/>
  <c r="AH91" i="3"/>
  <c r="AC91" i="3"/>
  <c r="AC71" i="3"/>
  <c r="AC14" i="3"/>
  <c r="M25" i="3"/>
  <c r="AC43" i="3"/>
  <c r="AC63" i="3"/>
  <c r="M11" i="3"/>
  <c r="AC25" i="3"/>
  <c r="M40" i="3"/>
  <c r="AI55" i="3"/>
  <c r="AC55" i="3"/>
  <c r="AH71" i="3"/>
  <c r="AF91" i="3"/>
  <c r="AG91" i="3" s="1"/>
  <c r="M129" i="3"/>
  <c r="M145" i="3"/>
  <c r="AH145" i="3"/>
  <c r="AF155" i="3"/>
  <c r="AG155" i="3" s="1"/>
  <c r="AH196" i="3"/>
  <c r="AF224" i="3"/>
  <c r="AG224" i="3" s="1"/>
  <c r="AH224" i="3"/>
  <c r="AH134" i="3"/>
  <c r="AC134" i="3"/>
  <c r="AC215" i="3"/>
  <c r="AH215" i="3"/>
  <c r="M215" i="3"/>
  <c r="M48" i="3"/>
  <c r="M64" i="3"/>
  <c r="AC80" i="3"/>
  <c r="AC88" i="3"/>
  <c r="M151" i="3"/>
  <c r="AH186" i="3"/>
  <c r="AC211" i="3"/>
  <c r="M211" i="3"/>
  <c r="AC279" i="3"/>
  <c r="AH279" i="3"/>
  <c r="M308" i="3"/>
  <c r="AH308" i="3"/>
  <c r="AF308" i="3"/>
  <c r="AG308" i="3" s="1"/>
  <c r="AC308" i="3"/>
  <c r="AH193" i="3"/>
  <c r="AC15" i="3"/>
  <c r="AH22" i="3"/>
  <c r="AH140" i="3"/>
  <c r="AH177" i="3"/>
  <c r="AF177" i="3"/>
  <c r="AG177" i="3" s="1"/>
  <c r="AI215" i="3"/>
  <c r="AC48" i="3"/>
  <c r="AI76" i="3"/>
  <c r="AF80" i="3"/>
  <c r="AG80" i="3" s="1"/>
  <c r="AF88" i="3"/>
  <c r="AG88" i="3" s="1"/>
  <c r="M112" i="3"/>
  <c r="AH135" i="3"/>
  <c r="AI135" i="3"/>
  <c r="AC135" i="3"/>
  <c r="AC140" i="3"/>
  <c r="AC177" i="3"/>
  <c r="AC234" i="3"/>
  <c r="M234" i="3"/>
  <c r="AC129" i="3"/>
  <c r="AC210" i="3"/>
  <c r="AH210" i="3"/>
  <c r="AF210" i="3"/>
  <c r="AG210" i="3" s="1"/>
  <c r="M210" i="3"/>
  <c r="AC290" i="3"/>
  <c r="M290" i="3"/>
  <c r="AC11" i="3"/>
  <c r="AC40" i="3"/>
  <c r="M33" i="3"/>
  <c r="AC22" i="3"/>
  <c r="AC33" i="3"/>
  <c r="AC64" i="3"/>
  <c r="M19" i="3"/>
  <c r="AC37" i="3"/>
  <c r="AC56" i="3"/>
  <c r="AF72" i="3"/>
  <c r="AG72" i="3" s="1"/>
  <c r="AC112" i="3"/>
  <c r="AH192" i="3"/>
  <c r="AC146" i="3"/>
  <c r="AH146" i="3"/>
  <c r="AH225" i="3"/>
  <c r="AC19" i="3"/>
  <c r="AH136" i="3"/>
  <c r="AH152" i="3"/>
  <c r="M152" i="3"/>
  <c r="AH206" i="3"/>
  <c r="AF206" i="3"/>
  <c r="AG206" i="3" s="1"/>
  <c r="AI206" i="3"/>
  <c r="AC206" i="3"/>
  <c r="AC13" i="3"/>
  <c r="AC141" i="3"/>
  <c r="AH141" i="3"/>
  <c r="AI141" i="3"/>
  <c r="M141" i="3"/>
  <c r="AC178" i="3"/>
  <c r="AH178" i="3"/>
  <c r="AF178" i="3"/>
  <c r="AG178" i="3" s="1"/>
  <c r="M178" i="3"/>
  <c r="AF275" i="3"/>
  <c r="AG275" i="3" s="1"/>
  <c r="AC275" i="3"/>
  <c r="AH275" i="3"/>
  <c r="M275" i="3"/>
  <c r="AC183" i="3"/>
  <c r="AI183" i="3"/>
  <c r="AH183" i="3"/>
  <c r="M183" i="3"/>
  <c r="AC202" i="3"/>
  <c r="AF202" i="3"/>
  <c r="AG202" i="3" s="1"/>
  <c r="AC225" i="3"/>
  <c r="AH249" i="3"/>
  <c r="AC249" i="3"/>
  <c r="AH30" i="3"/>
  <c r="M77" i="3"/>
  <c r="AH77" i="3"/>
  <c r="M85" i="3"/>
  <c r="AH85" i="3"/>
  <c r="AC136" i="3"/>
  <c r="AI142" i="3"/>
  <c r="M142" i="3"/>
  <c r="AH142" i="3"/>
  <c r="AC152" i="3"/>
  <c r="AC179" i="3"/>
  <c r="M179" i="3"/>
  <c r="AH212" i="3"/>
  <c r="M260" i="3"/>
  <c r="AC260" i="3"/>
  <c r="AH260" i="3"/>
  <c r="AC23" i="3"/>
  <c r="AC30" i="3"/>
  <c r="AC45" i="3"/>
  <c r="AI48" i="3"/>
  <c r="AI64" i="3"/>
  <c r="M69" i="3"/>
  <c r="AH69" i="3"/>
  <c r="AC77" i="3"/>
  <c r="AC85" i="3"/>
  <c r="AC142" i="3"/>
  <c r="AF183" i="3"/>
  <c r="AG183" i="3" s="1"/>
  <c r="AI202" i="3"/>
  <c r="AC212" i="3"/>
  <c r="AC235" i="3"/>
  <c r="AH235" i="3"/>
  <c r="M265" i="3"/>
  <c r="AH265" i="3"/>
  <c r="AI265" i="3"/>
  <c r="AH37" i="3"/>
  <c r="M53" i="3"/>
  <c r="AH53" i="3"/>
  <c r="AI56" i="3"/>
  <c r="M61" i="3"/>
  <c r="AH61" i="3"/>
  <c r="AC69" i="3"/>
  <c r="AC126" i="3"/>
  <c r="AF152" i="3"/>
  <c r="AG152" i="3" s="1"/>
  <c r="AF221" i="3"/>
  <c r="AG221" i="3" s="1"/>
  <c r="AI260" i="3"/>
  <c r="AC265" i="3"/>
  <c r="AC303" i="3"/>
  <c r="AH303" i="3"/>
  <c r="AH23" i="3"/>
  <c r="AC53" i="3"/>
  <c r="AC61" i="3"/>
  <c r="M109" i="3"/>
  <c r="AC131" i="3"/>
  <c r="AH131" i="3"/>
  <c r="M193" i="3"/>
  <c r="AH202" i="3"/>
  <c r="AH240" i="3"/>
  <c r="AC240" i="3"/>
  <c r="AC298" i="3"/>
  <c r="M298" i="3"/>
  <c r="AI298" i="3"/>
  <c r="AH298" i="3"/>
  <c r="AF103" i="3"/>
  <c r="AG103" i="3" s="1"/>
  <c r="AI103" i="3"/>
  <c r="AC106" i="3"/>
  <c r="AF106" i="3"/>
  <c r="AG106" i="3" s="1"/>
  <c r="AF167" i="3"/>
  <c r="AG167" i="3" s="1"/>
  <c r="AI167" i="3"/>
  <c r="M273" i="3"/>
  <c r="M41" i="3"/>
  <c r="M49" i="3"/>
  <c r="M57" i="3"/>
  <c r="M65" i="3"/>
  <c r="M73" i="3"/>
  <c r="M81" i="3"/>
  <c r="M89" i="3"/>
  <c r="AH103" i="3"/>
  <c r="AI106" i="3"/>
  <c r="M110" i="3"/>
  <c r="M113" i="3"/>
  <c r="AC125" i="3"/>
  <c r="AH167" i="3"/>
  <c r="M171" i="3"/>
  <c r="M187" i="3"/>
  <c r="M203" i="3"/>
  <c r="M219" i="3"/>
  <c r="AC291" i="3"/>
  <c r="AH100" i="3"/>
  <c r="M104" i="3"/>
  <c r="M107" i="3"/>
  <c r="AC122" i="3"/>
  <c r="AH164" i="3"/>
  <c r="AC250" i="3"/>
  <c r="M250" i="3"/>
  <c r="AI250" i="3"/>
  <c r="AH273" i="3"/>
  <c r="AC295" i="3"/>
  <c r="AH295" i="3"/>
  <c r="AC229" i="3"/>
  <c r="AC239" i="3"/>
  <c r="AH239" i="3"/>
  <c r="AC274" i="3"/>
  <c r="M274" i="3"/>
  <c r="AI274" i="3"/>
  <c r="M300" i="3"/>
  <c r="AH304" i="3"/>
  <c r="AC304" i="3"/>
  <c r="M304" i="3"/>
  <c r="AC101" i="3"/>
  <c r="AI122" i="3"/>
  <c r="AC165" i="3"/>
  <c r="AC168" i="3"/>
  <c r="AI171" i="3"/>
  <c r="AC184" i="3"/>
  <c r="AC200" i="3"/>
  <c r="AI203" i="3"/>
  <c r="AC216" i="3"/>
  <c r="AC243" i="3"/>
  <c r="AC283" i="3"/>
  <c r="AH291" i="3"/>
  <c r="AC300" i="3"/>
  <c r="AI57" i="3"/>
  <c r="AF73" i="3"/>
  <c r="AG73" i="3" s="1"/>
  <c r="AF81" i="3"/>
  <c r="AG81" i="3" s="1"/>
  <c r="AC92" i="3"/>
  <c r="AC98" i="3"/>
  <c r="AF119" i="3"/>
  <c r="AG119" i="3" s="1"/>
  <c r="M147" i="3"/>
  <c r="AC162" i="3"/>
  <c r="AC181" i="3"/>
  <c r="AC197" i="3"/>
  <c r="AC213" i="3"/>
  <c r="AH250" i="3"/>
  <c r="AC266" i="3"/>
  <c r="M266" i="3"/>
  <c r="AH274" i="3"/>
  <c r="AF287" i="3"/>
  <c r="AG287" i="3" s="1"/>
  <c r="AC287" i="3"/>
  <c r="AI287" i="3"/>
  <c r="AH287" i="3"/>
  <c r="AI304" i="3"/>
  <c r="AC12" i="3"/>
  <c r="AC20" i="3"/>
  <c r="AC28" i="3"/>
  <c r="AC36" i="3"/>
  <c r="AC44" i="3"/>
  <c r="AC52" i="3"/>
  <c r="AF57" i="3"/>
  <c r="AG57" i="3" s="1"/>
  <c r="AC60" i="3"/>
  <c r="AC68" i="3"/>
  <c r="AC76" i="3"/>
  <c r="AH122" i="3"/>
  <c r="AH125" i="3"/>
  <c r="AC150" i="3"/>
  <c r="AC153" i="3"/>
  <c r="AC156" i="3"/>
  <c r="AC159" i="3"/>
  <c r="AC226" i="3"/>
  <c r="M226" i="3"/>
  <c r="AH232" i="3"/>
  <c r="AC236" i="3"/>
  <c r="AC258" i="3"/>
  <c r="M258" i="3"/>
  <c r="M292" i="3"/>
  <c r="AH296" i="3"/>
  <c r="AF296" i="3"/>
  <c r="AG296" i="3" s="1"/>
  <c r="AC296" i="3"/>
  <c r="M296" i="3"/>
  <c r="AC175" i="3"/>
  <c r="AC191" i="3"/>
  <c r="AC207" i="3"/>
  <c r="AC223" i="3"/>
  <c r="M284" i="3"/>
  <c r="AH288" i="3"/>
  <c r="AC288" i="3"/>
  <c r="M288" i="3"/>
  <c r="M26" i="3"/>
  <c r="M34" i="3"/>
  <c r="M42" i="3"/>
  <c r="M50" i="3"/>
  <c r="M58" i="3"/>
  <c r="M66" i="3"/>
  <c r="M74" i="3"/>
  <c r="M82" i="3"/>
  <c r="M102" i="3"/>
  <c r="M105" i="3"/>
  <c r="AC117" i="3"/>
  <c r="AC120" i="3"/>
  <c r="M166" i="3"/>
  <c r="AC233" i="3"/>
  <c r="M244" i="3"/>
  <c r="AC267" i="3"/>
  <c r="AC284" i="3"/>
  <c r="AH292" i="3"/>
  <c r="AC114" i="3"/>
  <c r="AF175" i="3"/>
  <c r="AG175" i="3" s="1"/>
  <c r="AF191" i="3"/>
  <c r="AG191" i="3" s="1"/>
  <c r="AI217" i="3"/>
  <c r="AC255" i="3"/>
  <c r="AH255" i="3"/>
  <c r="AC259" i="3"/>
  <c r="AC271" i="3"/>
  <c r="AH271" i="3"/>
  <c r="AF288" i="3"/>
  <c r="AG288" i="3" s="1"/>
  <c r="M297" i="3"/>
  <c r="AC90" i="3"/>
  <c r="AF96" i="3"/>
  <c r="AG96" i="3" s="1"/>
  <c r="AC108" i="3"/>
  <c r="AC111" i="3"/>
  <c r="AC169" i="3"/>
  <c r="AC185" i="3"/>
  <c r="AC201" i="3"/>
  <c r="AC217" i="3"/>
  <c r="M227" i="3"/>
  <c r="AH248" i="3"/>
  <c r="AF248" i="3"/>
  <c r="AG248" i="3" s="1"/>
  <c r="AF263" i="3"/>
  <c r="AG263" i="3" s="1"/>
  <c r="AC263" i="3"/>
  <c r="AI263" i="3"/>
  <c r="AH263" i="3"/>
  <c r="M276" i="3"/>
  <c r="AH280" i="3"/>
  <c r="AF280" i="3"/>
  <c r="AG280" i="3" s="1"/>
  <c r="AC280" i="3"/>
  <c r="M280" i="3"/>
  <c r="AI284" i="3"/>
  <c r="AC297" i="3"/>
  <c r="AC157" i="3"/>
  <c r="AH175" i="3"/>
  <c r="AH191" i="3"/>
  <c r="AH207" i="3"/>
  <c r="AH223" i="3"/>
  <c r="AH284" i="3"/>
  <c r="AI288" i="3"/>
  <c r="AI124" i="3"/>
  <c r="AC130" i="3"/>
  <c r="AC173" i="3"/>
  <c r="AC189" i="3"/>
  <c r="AC205" i="3"/>
  <c r="AI221" i="3"/>
  <c r="AC221" i="3"/>
  <c r="AH264" i="3"/>
  <c r="AC264" i="3"/>
  <c r="AI281" i="3"/>
  <c r="M281" i="3"/>
  <c r="AC237" i="3"/>
  <c r="AC245" i="3"/>
  <c r="AC253" i="3"/>
  <c r="AC261" i="3"/>
  <c r="AC269" i="3"/>
  <c r="AC277" i="3"/>
  <c r="AC285" i="3"/>
  <c r="AC293" i="3"/>
  <c r="AC301" i="3"/>
  <c r="AC309" i="3"/>
  <c r="AF292" i="3" l="1"/>
  <c r="AG292" i="3" s="1"/>
  <c r="AF220" i="3"/>
  <c r="AG220" i="3" s="1"/>
  <c r="AF163" i="3"/>
  <c r="AG163" i="3" s="1"/>
  <c r="AF188" i="3"/>
  <c r="AG188" i="3" s="1"/>
  <c r="AI310" i="3"/>
  <c r="AF43" i="3"/>
  <c r="AG43" i="3" s="1"/>
  <c r="AI169" i="3"/>
  <c r="AI127" i="3"/>
  <c r="AI293" i="3"/>
  <c r="M5" i="3"/>
  <c r="AF197" i="3"/>
  <c r="AG197" i="3" s="1"/>
  <c r="AI297" i="3"/>
  <c r="AF144" i="3"/>
  <c r="AG144" i="3" s="1"/>
  <c r="AF236" i="3"/>
  <c r="AG236" i="3" s="1"/>
  <c r="AF286" i="3"/>
  <c r="AG286" i="3" s="1"/>
  <c r="AF29" i="3"/>
  <c r="AG29" i="3" s="1"/>
  <c r="AI90" i="3"/>
  <c r="AI26" i="3"/>
  <c r="AF47" i="3"/>
  <c r="AG47" i="3" s="1"/>
  <c r="AF211" i="3"/>
  <c r="AG211" i="3" s="1"/>
  <c r="AI42" i="3"/>
  <c r="AF204" i="3"/>
  <c r="AG204" i="3" s="1"/>
  <c r="AI309" i="3"/>
  <c r="AI294" i="3"/>
  <c r="AF21" i="3"/>
  <c r="AG21" i="3" s="1"/>
  <c r="AF66" i="3"/>
  <c r="AG66" i="3" s="1"/>
  <c r="AF214" i="3"/>
  <c r="AG214" i="3" s="1"/>
  <c r="AI261" i="3"/>
  <c r="AI213" i="3"/>
  <c r="AF130" i="3"/>
  <c r="AG130" i="3" s="1"/>
  <c r="AI92" i="3"/>
  <c r="AF95" i="3"/>
  <c r="AG95" i="3" s="1"/>
  <c r="AF253" i="3"/>
  <c r="AG253" i="3" s="1"/>
  <c r="AI251" i="3"/>
  <c r="AF136" i="3"/>
  <c r="AG136" i="3" s="1"/>
  <c r="AI93" i="3"/>
  <c r="AF78" i="3"/>
  <c r="AG78" i="3" s="1"/>
  <c r="AF18" i="3"/>
  <c r="AG18" i="3" s="1"/>
  <c r="AI35" i="3"/>
  <c r="AF60" i="3"/>
  <c r="AG60" i="3" s="1"/>
  <c r="AF84" i="3"/>
  <c r="AG84" i="3" s="1"/>
  <c r="AI53" i="3"/>
  <c r="AI68" i="3"/>
  <c r="AI14" i="3"/>
  <c r="AI125" i="3"/>
  <c r="AF262" i="3"/>
  <c r="AG262" i="3" s="1"/>
  <c r="AF264" i="3"/>
  <c r="AG264" i="3" s="1"/>
  <c r="AF83" i="3"/>
  <c r="AG83" i="3" s="1"/>
  <c r="AF299" i="3"/>
  <c r="AG299" i="3" s="1"/>
  <c r="AI34" i="3"/>
  <c r="AF246" i="3"/>
  <c r="AG246" i="3" s="1"/>
  <c r="AF99" i="3"/>
  <c r="AG99" i="3" s="1"/>
  <c r="AI164" i="3"/>
  <c r="AI12" i="3"/>
  <c r="AI147" i="3"/>
  <c r="AF289" i="3"/>
  <c r="AG289" i="3" s="1"/>
  <c r="AI108" i="3"/>
  <c r="AF235" i="3"/>
  <c r="AG235" i="3" s="1"/>
  <c r="AI73" i="3"/>
  <c r="AI81" i="3"/>
  <c r="AF238" i="3"/>
  <c r="AG238" i="3" s="1"/>
  <c r="AF233" i="3"/>
  <c r="AG233" i="3" s="1"/>
  <c r="AF74" i="3"/>
  <c r="AG74" i="3" s="1"/>
  <c r="AF158" i="3"/>
  <c r="AG158" i="3" s="1"/>
  <c r="AF59" i="3"/>
  <c r="AG59" i="3" s="1"/>
  <c r="AI277" i="3"/>
  <c r="AI65" i="3"/>
  <c r="AF11" i="3"/>
  <c r="AI174" i="3"/>
  <c r="AI22" i="3"/>
  <c r="AF148" i="3"/>
  <c r="AG148" i="3" s="1"/>
  <c r="AI49" i="3"/>
  <c r="AF141" i="3"/>
  <c r="AG141" i="3" s="1"/>
  <c r="AI302" i="3"/>
  <c r="AF123" i="3"/>
  <c r="AG123" i="3" s="1"/>
  <c r="AI237" i="3"/>
  <c r="AI270" i="3"/>
  <c r="AI201" i="3"/>
  <c r="AF117" i="3"/>
  <c r="AG117" i="3" s="1"/>
  <c r="AI249" i="3"/>
  <c r="AI196" i="3"/>
  <c r="AF272" i="3"/>
  <c r="AG272" i="3" s="1"/>
  <c r="AI138" i="3"/>
  <c r="AF189" i="3"/>
  <c r="AG189" i="3" s="1"/>
  <c r="AF128" i="3"/>
  <c r="AG128" i="3" s="1"/>
  <c r="AF31" i="3"/>
  <c r="AG31" i="3" s="1"/>
  <c r="AF19" i="3"/>
  <c r="AG19" i="3" s="1"/>
  <c r="AF240" i="3"/>
  <c r="AG240" i="3" s="1"/>
  <c r="AI275" i="3"/>
  <c r="AF166" i="3"/>
  <c r="AG166" i="3" s="1"/>
  <c r="AF303" i="3"/>
  <c r="AG303" i="3" s="1"/>
  <c r="AF226" i="3"/>
  <c r="AG226" i="3" s="1"/>
  <c r="AI159" i="3"/>
  <c r="AF244" i="3"/>
  <c r="AG244" i="3" s="1"/>
  <c r="AI295" i="3"/>
  <c r="AI44" i="3"/>
  <c r="AI291" i="3"/>
  <c r="AI79" i="3"/>
  <c r="AF46" i="3"/>
  <c r="AG46" i="3" s="1"/>
  <c r="AI20" i="3"/>
  <c r="AF254" i="3"/>
  <c r="AG254" i="3" s="1"/>
  <c r="AF284" i="3"/>
  <c r="AG284" i="3" s="1"/>
  <c r="AF192" i="3"/>
  <c r="AG192" i="3" s="1"/>
  <c r="AF75" i="3"/>
  <c r="AG75" i="3" s="1"/>
  <c r="AF268" i="3"/>
  <c r="AG268" i="3" s="1"/>
  <c r="AF82" i="3"/>
  <c r="AG82" i="3" s="1"/>
  <c r="AF259" i="3"/>
  <c r="AG259" i="3" s="1"/>
  <c r="AF142" i="3"/>
  <c r="AG142" i="3" s="1"/>
  <c r="AF89" i="3"/>
  <c r="AG89" i="3" s="1"/>
  <c r="AI242" i="3"/>
  <c r="AF51" i="3"/>
  <c r="AG51" i="3" s="1"/>
  <c r="AF298" i="3"/>
  <c r="AG298" i="3" s="1"/>
  <c r="AI37" i="3"/>
  <c r="AF16" i="3"/>
  <c r="AG16" i="3" s="1"/>
  <c r="AF116" i="3"/>
  <c r="AG116" i="3" s="1"/>
  <c r="AF133" i="3"/>
  <c r="AG133" i="3" s="1"/>
  <c r="AI252" i="3"/>
  <c r="AF250" i="3"/>
  <c r="AG250" i="3" s="1"/>
  <c r="AF256" i="3"/>
  <c r="AG256" i="3" s="1"/>
  <c r="AF282" i="3"/>
  <c r="AG282" i="3" s="1"/>
  <c r="AI102" i="3"/>
  <c r="AF67" i="3"/>
  <c r="AG67" i="3" s="1"/>
  <c r="AF113" i="3"/>
  <c r="AG113" i="3" s="1"/>
  <c r="AF255" i="3"/>
  <c r="AG255" i="3" s="1"/>
  <c r="AF243" i="3"/>
  <c r="AG243" i="3" s="1"/>
  <c r="AF15" i="3"/>
  <c r="AG15" i="3" s="1"/>
  <c r="AI52" i="3"/>
  <c r="AF55" i="3"/>
  <c r="AG55" i="3" s="1"/>
  <c r="AI24" i="3"/>
  <c r="AI266" i="3"/>
  <c r="AF219" i="3"/>
  <c r="AG219" i="3" s="1"/>
  <c r="AI39" i="3"/>
  <c r="AI271" i="3"/>
  <c r="AI119" i="3"/>
  <c r="AI153" i="3"/>
  <c r="AF54" i="3"/>
  <c r="AG54" i="3" s="1"/>
  <c r="AF161" i="3"/>
  <c r="AG161" i="3" s="1"/>
  <c r="AF228" i="3"/>
  <c r="AG228" i="3" s="1"/>
  <c r="AI269" i="3"/>
  <c r="AF205" i="3"/>
  <c r="AG205" i="3" s="1"/>
  <c r="AI100" i="3"/>
  <c r="AI157" i="3"/>
  <c r="AI181" i="3"/>
  <c r="AI273" i="3"/>
  <c r="AF33" i="3"/>
  <c r="AG33" i="3" s="1"/>
  <c r="AF135" i="3"/>
  <c r="AG135" i="3" s="1"/>
  <c r="AF307" i="3"/>
  <c r="AG307" i="3" s="1"/>
  <c r="AI194" i="3"/>
  <c r="AF94" i="3"/>
  <c r="AG94" i="3" s="1"/>
  <c r="AF173" i="3"/>
  <c r="AG173" i="3" s="1"/>
  <c r="AI36" i="3"/>
  <c r="AF172" i="3"/>
  <c r="AG172" i="3" s="1"/>
  <c r="AI101" i="3"/>
  <c r="AF179" i="3"/>
  <c r="AG179" i="3" s="1"/>
  <c r="AF162" i="3"/>
  <c r="AG162" i="3" s="1"/>
  <c r="AI245" i="3"/>
  <c r="AI308" i="3"/>
  <c r="AI301" i="3"/>
  <c r="AI193" i="3"/>
  <c r="AI207" i="3"/>
  <c r="AI107" i="3"/>
  <c r="AI104" i="3"/>
  <c r="AF112" i="3"/>
  <c r="AG112" i="3" s="1"/>
  <c r="AF143" i="3"/>
  <c r="AG143" i="3" s="1"/>
  <c r="AI185" i="3"/>
  <c r="AI111" i="3"/>
  <c r="AI150" i="3"/>
  <c r="AI25" i="3"/>
  <c r="AF232" i="3"/>
  <c r="AG232" i="3" s="1"/>
  <c r="AI156" i="3"/>
  <c r="AF278" i="3"/>
  <c r="AG278" i="3" s="1"/>
  <c r="AF58" i="3"/>
  <c r="AG58" i="3" s="1"/>
  <c r="AI28" i="3"/>
  <c r="AI129" i="3"/>
  <c r="AF134" i="3"/>
  <c r="AG134" i="3" s="1"/>
  <c r="AF41" i="3"/>
  <c r="AG41" i="3" s="1"/>
  <c r="AF239" i="3"/>
  <c r="AG239" i="3" s="1"/>
  <c r="AF23" i="3"/>
  <c r="AG23" i="3" s="1"/>
  <c r="AI234" i="3"/>
  <c r="AI177" i="3"/>
  <c r="AF279" i="3"/>
  <c r="AG279" i="3" s="1"/>
  <c r="AF87" i="3"/>
  <c r="AG87" i="3" s="1"/>
  <c r="AI306" i="3"/>
  <c r="AI62" i="3"/>
  <c r="AF86" i="3"/>
  <c r="AG86" i="3" s="1"/>
  <c r="AI178" i="3"/>
  <c r="AF32" i="3"/>
  <c r="AG32" i="3" s="1"/>
  <c r="AF13" i="3"/>
  <c r="AG13" i="3" s="1"/>
  <c r="AI17" i="3"/>
  <c r="AF265" i="3"/>
  <c r="AG265" i="3" s="1"/>
  <c r="AF225" i="3"/>
  <c r="AG225" i="3" s="1"/>
  <c r="AI229" i="3"/>
  <c r="AF140" i="3"/>
  <c r="AG140" i="3" s="1"/>
  <c r="AF209" i="3"/>
  <c r="AG209" i="3" s="1"/>
  <c r="AI170" i="3"/>
  <c r="AI132" i="3"/>
  <c r="AI223" i="3"/>
  <c r="AF216" i="3"/>
  <c r="AG216" i="3" s="1"/>
  <c r="AF200" i="3"/>
  <c r="AG200" i="3" s="1"/>
  <c r="AI30" i="3"/>
  <c r="AI146" i="3"/>
  <c r="AF305" i="3"/>
  <c r="AG305" i="3" s="1"/>
  <c r="AI241" i="3"/>
  <c r="AI231" i="3"/>
  <c r="AI257" i="3"/>
  <c r="AF203" i="3"/>
  <c r="AG203" i="3" s="1"/>
  <c r="AI165" i="3"/>
  <c r="AF131" i="3"/>
  <c r="AG131" i="3" s="1"/>
  <c r="AF184" i="3"/>
  <c r="AG184" i="3" s="1"/>
  <c r="AF260" i="3"/>
  <c r="AG260" i="3" s="1"/>
  <c r="AF114" i="3"/>
  <c r="AG114" i="3" s="1"/>
  <c r="AF283" i="3"/>
  <c r="AG283" i="3" s="1"/>
  <c r="AF187" i="3"/>
  <c r="AG187" i="3" s="1"/>
  <c r="AF168" i="3"/>
  <c r="AG168" i="3" s="1"/>
  <c r="AF63" i="3"/>
  <c r="AG63" i="3" s="1"/>
  <c r="AF222" i="3"/>
  <c r="AG222" i="3" s="1"/>
  <c r="AF208" i="3"/>
  <c r="AG208" i="3" s="1"/>
  <c r="AF267" i="3"/>
  <c r="AG267" i="3" s="1"/>
  <c r="AI258" i="3"/>
  <c r="AF171" i="3"/>
  <c r="AG171" i="3" s="1"/>
  <c r="AF85" i="3"/>
  <c r="AG85" i="3" s="1"/>
  <c r="AI85" i="3"/>
  <c r="AF212" i="3"/>
  <c r="AG212" i="3" s="1"/>
  <c r="AF151" i="3"/>
  <c r="AG151" i="3" s="1"/>
  <c r="AI155" i="3"/>
  <c r="AF176" i="3"/>
  <c r="AG176" i="3" s="1"/>
  <c r="AF70" i="3"/>
  <c r="AG70" i="3" s="1"/>
  <c r="AF109" i="3"/>
  <c r="AG109" i="3" s="1"/>
  <c r="AF180" i="3"/>
  <c r="AG180" i="3" s="1"/>
  <c r="AI191" i="3"/>
  <c r="AF110" i="3"/>
  <c r="AG110" i="3" s="1"/>
  <c r="AF77" i="3"/>
  <c r="AG77" i="3" s="1"/>
  <c r="AI77" i="3"/>
  <c r="AF290" i="3"/>
  <c r="AG290" i="3" s="1"/>
  <c r="AF304" i="3"/>
  <c r="AG304" i="3" s="1"/>
  <c r="AF126" i="3"/>
  <c r="AG126" i="3" s="1"/>
  <c r="AI175" i="3"/>
  <c r="AF300" i="3"/>
  <c r="AG300" i="3" s="1"/>
  <c r="AF45" i="3"/>
  <c r="AG45" i="3" s="1"/>
  <c r="AI45" i="3"/>
  <c r="AF139" i="3"/>
  <c r="AG139" i="3" s="1"/>
  <c r="AI40" i="3"/>
  <c r="AF215" i="3"/>
  <c r="AG215" i="3" s="1"/>
  <c r="AI145" i="3"/>
  <c r="AF145" i="3"/>
  <c r="AG145" i="3" s="1"/>
  <c r="AF274" i="3"/>
  <c r="AG274" i="3" s="1"/>
  <c r="AF122" i="3"/>
  <c r="AG122" i="3" s="1"/>
  <c r="AI152" i="3"/>
  <c r="AI210" i="3"/>
  <c r="AI154" i="3"/>
  <c r="AF115" i="3"/>
  <c r="AG115" i="3" s="1"/>
  <c r="AF71" i="3"/>
  <c r="AG71" i="3" s="1"/>
  <c r="AF137" i="3"/>
  <c r="AG137" i="3" s="1"/>
  <c r="AF120" i="3"/>
  <c r="AG120" i="3" s="1"/>
  <c r="AF190" i="3"/>
  <c r="AG190" i="3" s="1"/>
  <c r="AG11" i="3" l="1"/>
  <c r="M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NICOLAS INCHAUSTEGUI GONZALEZ</author>
  </authors>
  <commentList>
    <comment ref="B10" authorId="0" shapeId="0" xr:uid="{305A31A8-4F4E-4B1F-98CD-D583A07A6413}">
      <text>
        <r>
          <rPr>
            <b/>
            <sz val="9"/>
            <color indexed="81"/>
            <rFont val="Tahoma"/>
            <charset val="1"/>
          </rPr>
          <t>Elija la categoría de la lista (las 19 del calendario institucional).</t>
        </r>
      </text>
    </comment>
    <comment ref="C10" authorId="0" shapeId="0" xr:uid="{9BE62371-2C5A-4CCF-9506-9398748EFCBE}">
      <text>
        <r>
          <rPr>
            <b/>
            <sz val="9"/>
            <color indexed="81"/>
            <rFont val="Tahoma"/>
            <charset val="1"/>
          </rPr>
          <t>Opcional. La línea, programa o serie a la que pertenece la actividad. Ej.: «Encuentros deportivos territorio regional».</t>
        </r>
      </text>
    </comment>
    <comment ref="D10" authorId="0" shapeId="0" xr:uid="{851B9E32-758E-4264-B1E0-68958494A8F3}">
      <text>
        <r>
          <rPr>
            <b/>
            <sz val="9"/>
            <color indexed="81"/>
            <rFont val="Tahoma"/>
            <charset val="1"/>
          </rPr>
          <t>Vacío = el área. Escriba el responsable solo si la actividad es de otro programa u oficina (ej. «Programa de Música»): el nombre de la dependencia, no de una persona. Elija de la lista; si no está, escriba el nombre oficial completo, siempre igual, sin siglas.</t>
        </r>
      </text>
    </comment>
    <comment ref="E10" authorId="0" shapeId="0" xr:uid="{0E1F286F-708B-45B6-8B96-789BFAFE226F}">
      <text>
        <r>
          <rPr>
            <b/>
            <sz val="9"/>
            <color indexed="81"/>
            <rFont val="Tahoma"/>
            <charset val="1"/>
          </rPr>
          <t>Vacío = el calendario principal del área. Elija Académico o Administrativo.</t>
        </r>
      </text>
    </comment>
    <comment ref="F10" authorId="0" shapeId="0" xr:uid="{D6D1A0EA-92A8-407C-801C-A2C6F95EEC2C}">
      <text>
        <r>
          <rPr>
            <b/>
            <sz val="9"/>
            <color indexed="81"/>
            <rFont val="Tahoma"/>
            <charset val="1"/>
          </rPr>
          <t>Vacío = la sede principal del área. Elija «Todas las sedes» si aplica a todas.</t>
        </r>
      </text>
    </comment>
    <comment ref="H10" authorId="0" shapeId="0" xr:uid="{47DD3A4D-C4FA-4720-B87B-C13B837668C0}">
      <text>
        <r>
          <rPr>
            <b/>
            <sz val="9"/>
            <color indexed="81"/>
            <rFont val="Tahoma"/>
            <charset val="1"/>
          </rPr>
          <t>Horas como hh:mm en 24 horas (ej. 14:30). Si es todo el día, deje las horas vacías.</t>
        </r>
      </text>
    </comment>
    <comment ref="J10" authorId="0" shapeId="0" xr:uid="{99571AB1-CB23-4905-A0D0-F045548C637E}">
      <text>
        <r>
          <rPr>
            <b/>
            <sz val="9"/>
            <color indexed="81"/>
            <rFont val="Tahoma"/>
            <charset val="1"/>
          </rPr>
          <t>De un solo día: deje vacío y escriba la fecha en «Desde».
De varios días seguidos: primer día en «Desde» y último en «Hasta».
Se repite (semanal, mensual…): elija cada cuánto; primera fecha en «Desde» y última en «Hasta». Si es mensual se toma el mismo día de la primera fecha (ej. primer miércoles).
Fechas sueltas, sin un patrón: elija «En fechas específicas» y escriba cada una en Fecha 1, Fecha 2…</t>
        </r>
      </text>
    </comment>
    <comment ref="K10" authorId="0" shapeId="0" xr:uid="{5B322864-9428-4C44-8845-D8BF0AC7395F}">
      <text>
        <r>
          <rPr>
            <b/>
            <sz val="9"/>
            <color indexed="81"/>
            <rFont val="Tahoma"/>
            <charset val="1"/>
          </rPr>
          <t>Fechas como dd/mm/aaaa (ej. 03/02/2027). No escriba «octubre», «T4», «segunda semana» ni «permanente»: el formato no lo acepta.</t>
        </r>
      </text>
    </comment>
    <comment ref="N10" authorId="0" shapeId="0" xr:uid="{2A5B051E-4206-44DF-8680-2DE1B62D5E9E}">
      <text>
        <r>
          <rPr>
            <b/>
            <sz val="9"/>
            <color indexed="81"/>
            <rFont val="Tahoma"/>
            <charset val="1"/>
          </rPr>
          <t>Solo con «En fechas específicas» (hasta 12 fechas). Si son más, use otra fila. Si la regla es distinta (ej. «el día 15 de cada mes») use también «En fechas específicas».</t>
        </r>
      </text>
    </comment>
    <comment ref="Z10" authorId="0" shapeId="0" xr:uid="{C5578D79-1F06-43A6-95EF-00342E3A9207}">
      <text>
        <r>
          <rPr>
            <b/>
            <sz val="9"/>
            <color indexed="81"/>
            <rFont val="Tahoma"/>
            <charset val="1"/>
          </rPr>
          <t>Si en algún mes no hay sesión, escríbalo aquí. Las sesiones que caigan en festivo pasan al día hábil siguiente: «✔ Así quedó» le avisa cuáles.</t>
        </r>
      </text>
    </comment>
  </commentList>
</comments>
</file>

<file path=xl/sharedStrings.xml><?xml version="1.0" encoding="utf-8"?>
<sst xmlns="http://schemas.openxmlformats.org/spreadsheetml/2006/main" count="158" uniqueCount="155">
  <si>
    <t>Formato de programación – Calendario Institucional</t>
  </si>
  <si>
    <t>Área o dependencia *</t>
  </si>
  <si>
    <t>Unidad Líder *</t>
  </si>
  <si>
    <t>Sede principal *</t>
  </si>
  <si>
    <t>Nombre de quien diligencia *</t>
  </si>
  <si>
    <t>Correo institucional *</t>
  </si>
  <si>
    <t>Actividades escritas</t>
  </si>
  <si>
    <t>Actividades con algo por corregir</t>
  </si>
  <si>
    <t>Fechas que quedarán en el calendario</t>
  </si>
  <si>
    <t>Estado del formato</t>
  </si>
  <si>
    <t>Actividad *</t>
  </si>
  <si>
    <t>Categoría *</t>
  </si>
  <si>
    <t>Sede
(vacío = sede principal)</t>
  </si>
  <si>
    <t>Lugar *</t>
  </si>
  <si>
    <t>Hora inicio
(hh:mm)</t>
  </si>
  <si>
    <t>Hora fin
(hh:mm)</t>
  </si>
  <si>
    <t>¿Se repite?
(vacío = No)</t>
  </si>
  <si>
    <t>Desde
(dd/mm/aaaa)</t>
  </si>
  <si>
    <t>Hasta
(dd/mm/aaaa)</t>
  </si>
  <si>
    <t>✔ Así quedó
(automático)</t>
  </si>
  <si>
    <t>Fecha 1</t>
  </si>
  <si>
    <t>Fecha 2</t>
  </si>
  <si>
    <t>Fecha 3</t>
  </si>
  <si>
    <t>Fecha 4</t>
  </si>
  <si>
    <t>Fecha 5</t>
  </si>
  <si>
    <t>Fecha 6</t>
  </si>
  <si>
    <t>Fecha 7</t>
  </si>
  <si>
    <t>Fecha 8</t>
  </si>
  <si>
    <t>Fecha 9</t>
  </si>
  <si>
    <t>Fecha 10</t>
  </si>
  <si>
    <t>Fecha 11</t>
  </si>
  <si>
    <t>Fecha 12</t>
  </si>
  <si>
    <t>Observaciones</t>
  </si>
  <si>
    <t>Modo</t>
  </si>
  <si>
    <t>Meses</t>
  </si>
  <si>
    <t>Semana del mes</t>
  </si>
  <si>
    <t>Error</t>
  </si>
  <si>
    <t>N° fechas</t>
  </si>
  <si>
    <t>Fechas en festivo</t>
  </si>
  <si>
    <t>Lista fechas</t>
  </si>
  <si>
    <t>Descripción</t>
  </si>
  <si>
    <t>Cultura</t>
  </si>
  <si>
    <t>Ubaté</t>
  </si>
  <si>
    <t>Facatativá</t>
  </si>
  <si>
    <t>Comité</t>
  </si>
  <si>
    <t>Fusagasugá</t>
  </si>
  <si>
    <t>Cada mes</t>
  </si>
  <si>
    <t>Reunión</t>
  </si>
  <si>
    <t>Cada semana</t>
  </si>
  <si>
    <t>Consejo</t>
  </si>
  <si>
    <t>En fechas específicas</t>
  </si>
  <si>
    <t>Equidad y diversidad</t>
  </si>
  <si>
    <t>Todas las sedes</t>
  </si>
  <si>
    <t>Categoría</t>
  </si>
  <si>
    <t>Sede</t>
  </si>
  <si>
    <t>¿Se repite?</t>
  </si>
  <si>
    <t>Unidad Líder</t>
  </si>
  <si>
    <t>Festivos Colombia 2026-2028 (Ley 51 de 1983)</t>
  </si>
  <si>
    <t>Días 0-730 (auxiliar)</t>
  </si>
  <si>
    <t>No</t>
  </si>
  <si>
    <t>Vicerrectoría Académica</t>
  </si>
  <si>
    <t>Chía</t>
  </si>
  <si>
    <t>Vicerrectoría Administrativa y Financiera</t>
  </si>
  <si>
    <t>Comisión</t>
  </si>
  <si>
    <t>Cada 15 días</t>
  </si>
  <si>
    <t>Secretaría General</t>
  </si>
  <si>
    <t>Girardot</t>
  </si>
  <si>
    <t>Mesa de trabajo</t>
  </si>
  <si>
    <t>Soacha</t>
  </si>
  <si>
    <t>Cada 2 meses</t>
  </si>
  <si>
    <t>Capacitación / Taller</t>
  </si>
  <si>
    <t>Cada 3 meses</t>
  </si>
  <si>
    <t>Seminario / Conferencia / Foro</t>
  </si>
  <si>
    <t>Zipaquirá</t>
  </si>
  <si>
    <t>Cada 6 meses</t>
  </si>
  <si>
    <t>Encuentro</t>
  </si>
  <si>
    <t>Jornada / Conmemoración</t>
  </si>
  <si>
    <t>Deporte</t>
  </si>
  <si>
    <t>Salud y bienestar</t>
  </si>
  <si>
    <t>Proceso electoral</t>
  </si>
  <si>
    <t>Registro, admisiones y grados</t>
  </si>
  <si>
    <t>Auditoría / Control</t>
  </si>
  <si>
    <t>Actividad académica</t>
  </si>
  <si>
    <t>Actividad administrativa</t>
  </si>
  <si>
    <t>Otro</t>
  </si>
  <si>
    <t>Bogotá D.C.</t>
  </si>
  <si>
    <t>Calendario</t>
  </si>
  <si>
    <t>Académico</t>
  </si>
  <si>
    <t>Administrativo</t>
  </si>
  <si>
    <t>Calendario principal *</t>
  </si>
  <si>
    <t>Subcategoría
(opcional)</t>
  </si>
  <si>
    <t>Responsable
(vacío = el área)</t>
  </si>
  <si>
    <t>Calendario
(vacío = el del área)</t>
  </si>
  <si>
    <t>Bienestar Universitario - Ubaté</t>
  </si>
  <si>
    <t>Facultad de Ingeniería</t>
  </si>
  <si>
    <t>Bienestar Universitario - Equidad y Diversidad</t>
  </si>
  <si>
    <t>Áreas (sugeridas)</t>
  </si>
  <si>
    <t>Dirección de Bienestar Universitario</t>
  </si>
  <si>
    <t>Dirección de Control Interno</t>
  </si>
  <si>
    <t>Dirección de Interacción Social Universitaria</t>
  </si>
  <si>
    <t>Dirección de Planeación Institucional</t>
  </si>
  <si>
    <t>Dirección de Sistemas y Tecnología</t>
  </si>
  <si>
    <t>Dirección de Talento Humano</t>
  </si>
  <si>
    <t>Dirección Financiera</t>
  </si>
  <si>
    <t>Dirección Jurídica</t>
  </si>
  <si>
    <t>Oficina Asesora de Comunicaciones</t>
  </si>
  <si>
    <t>Oficina de Admisiones y Registro</t>
  </si>
  <si>
    <t>Oficina de Archivo y Correspondencia</t>
  </si>
  <si>
    <t>Oficina de Atención al Ciudadano</t>
  </si>
  <si>
    <t>Oficina de Compras</t>
  </si>
  <si>
    <t>Oficina de Contabilidad</t>
  </si>
  <si>
    <t>Oficina de Graduados</t>
  </si>
  <si>
    <t>Oficina de Presupuesto</t>
  </si>
  <si>
    <t>Oficina de Recursos Físicos</t>
  </si>
  <si>
    <t>Oficina de Seguridad y Salud en el Trabajo</t>
  </si>
  <si>
    <t>Sistema de Gestión Ambiental</t>
  </si>
  <si>
    <t>Sistema de Gestión de Calidad</t>
  </si>
  <si>
    <t>Sistema de Gestión de Seguridad de la Información</t>
  </si>
  <si>
    <t>Facultad de Ciencias Administrativas, Económicas y Contables</t>
  </si>
  <si>
    <t>Facultad de Ciencias Agropecuarias</t>
  </si>
  <si>
    <t>Facultad de Ciencias de la Salud</t>
  </si>
  <si>
    <t>Facultad de Ciencias Sociales, Humanidades y Ciencias Políticas</t>
  </si>
  <si>
    <t>Facultad de Educación</t>
  </si>
  <si>
    <t>Programa de Administración de Empresas</t>
  </si>
  <si>
    <t>Programa de Ciencias del Deporte y la Educación Física</t>
  </si>
  <si>
    <t>Programa de Contaduría Pública</t>
  </si>
  <si>
    <t>Programa de Enfermería</t>
  </si>
  <si>
    <t>Programa de Ingeniería Agronómica</t>
  </si>
  <si>
    <t>Programa de Ingeniería Ambiental</t>
  </si>
  <si>
    <t>Programa de Ingeniería de Sistemas y Computación</t>
  </si>
  <si>
    <t>Programa de Ingeniería de Software</t>
  </si>
  <si>
    <t>Programa de Ingeniería Electrónica</t>
  </si>
  <si>
    <t>Programa de Ingeniería Industrial</t>
  </si>
  <si>
    <t>Programa de Ingeniería Mecatrónica</t>
  </si>
  <si>
    <t>Programa de Licenciatura en Educación Física</t>
  </si>
  <si>
    <t>Programa de Medicina Veterinaria</t>
  </si>
  <si>
    <t>Programa de Música</t>
  </si>
  <si>
    <t>Programa de Psicología</t>
  </si>
  <si>
    <t>Programa de Tecnología en Desarrollo de Software</t>
  </si>
  <si>
    <t>Programa de Zootecnia</t>
  </si>
  <si>
    <t>Bienestar Universitario - Chía</t>
  </si>
  <si>
    <t>Bienestar Universitario - Facatativá</t>
  </si>
  <si>
    <t>Bienestar Universitario - Fusagasugá</t>
  </si>
  <si>
    <t>Bienestar Universitario - Girardot</t>
  </si>
  <si>
    <t>Bienestar Universitario - Soacha</t>
  </si>
  <si>
    <t>Bienestar Universitario - Zipaquirá</t>
  </si>
  <si>
    <t>Dirección Administrativa - Seccional Girardot</t>
  </si>
  <si>
    <t>Dirección Administrativa - Seccional Ubaté</t>
  </si>
  <si>
    <t>Dirección Administrativa - Extensión Chía</t>
  </si>
  <si>
    <t>Dirección Administrativa - Extensión Facatativá</t>
  </si>
  <si>
    <t>Dirección Administrativa - Extensión Soacha</t>
  </si>
  <si>
    <t>Dirección Administrativa - Extensión Zipaquirá</t>
  </si>
  <si>
    <t>Una fila por actividad, solo en las celdas de color. Pase el cursor por los encabezados para ver cómo llenar cada columna. Si «✔ Así quedó» sale en verde, envíe el archivo.</t>
  </si>
  <si>
    <t>DATOS DEL ÁREA (una sola vez)</t>
  </si>
  <si>
    <t>REVISIÓN AUTOMÁTICA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</si>
</sst>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hh:mm"/>
  </numFmts>
  <fonts count="9" x14ac:knownFonts="1">
    <font>
      <sz val="11"/>
      <color theme="1"/>
      <name val="Calibri"/>
      <family val="2"/>
      <scheme val="minor"/>
    </font>
    <font>
      <b/>
      <sz val="10"/>
      <name val="Arial"/>
    </font>
    <font>
      <sz val="10"/>
      <name val="Arial"/>
    </font>
    <font>
      <b/>
      <sz val="16"/>
      <color rgb="FF1F4E79"/>
      <name val="Arial"/>
    </font>
    <font>
      <i/>
      <sz val="9"/>
      <color rgb="FF595959"/>
      <name val="Arial"/>
    </font>
    <font>
      <b/>
      <sz val="12"/>
      <color rgb="FF1F4E79"/>
      <name val="Arial"/>
    </font>
    <font>
      <b/>
      <sz val="10"/>
      <color rgb="FFFFFFFF"/>
      <name val="Arial"/>
    </font>
    <font>
      <b/>
      <sz val="11"/>
      <color theme="1"/>
      <name val="Calibri"/>
      <family val="2"/>
      <scheme val="minor"/>
    </font>
    <font>
      <b/>
      <sz val="9"/>
      <color indexed="81"/>
      <name val="Tahoma"/>
      <charset val="1"/>
    </font>
  </fonts>
  <fills count="8">
    <fill>
      <patternFill patternType="none"/>
    </fill>
    <fill>
      <patternFill patternType="gray125"/>
    </fill>
    <fill>
      <patternFill patternType="solid">
        <fgColor rgb="FFFFF7D6"/>
      </patternFill>
    </fill>
    <fill>
      <patternFill patternType="solid">
        <fgColor rgb="FFEDEDED"/>
      </patternFill>
    </fill>
    <fill>
      <patternFill patternType="solid">
        <fgColor rgb="FF1F4E79"/>
      </patternFill>
    </fill>
    <fill>
      <patternFill patternType="solid">
        <fgColor rgb="FF595959"/>
      </patternFill>
    </fill>
    <fill>
      <patternFill patternType="solid">
        <fgColor rgb="FF2E75B6"/>
      </patternFill>
    </fill>
    <fill>
      <patternFill patternType="solid">
        <fgColor rgb="FFEAF2FA"/>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right style="thin">
        <color rgb="FFBFBFBF"/>
      </right>
      <top/>
      <bottom/>
      <diagonal/>
    </border>
  </borders>
  <cellStyleXfs count="1">
    <xf numFmtId="0" fontId="0" fillId="0" borderId="0"/>
  </cellStyleXfs>
  <cellXfs count="28">
    <xf numFmtId="0" fontId="0" fillId="0" borderId="0" xfId="0"/>
    <xf numFmtId="0" fontId="3" fillId="0" borderId="0" xfId="0" applyFont="1"/>
    <xf numFmtId="0" fontId="4" fillId="0" borderId="0" xfId="0" applyFont="1"/>
    <xf numFmtId="0" fontId="5" fillId="0" borderId="0" xfId="0" applyFont="1"/>
    <xf numFmtId="0" fontId="1" fillId="0" borderId="0" xfId="0" applyFont="1"/>
    <xf numFmtId="0" fontId="2" fillId="0" borderId="0" xfId="0" applyFont="1"/>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2" fillId="2" borderId="1" xfId="0" applyFont="1" applyFill="1" applyBorder="1" applyAlignment="1" applyProtection="1">
      <alignment vertical="top" wrapText="1"/>
      <protection locked="0"/>
    </xf>
    <xf numFmtId="165" fontId="2" fillId="2" borderId="1" xfId="0" applyNumberFormat="1" applyFont="1" applyFill="1" applyBorder="1" applyAlignment="1" applyProtection="1">
      <alignment vertical="top" wrapText="1"/>
      <protection locked="0"/>
    </xf>
    <xf numFmtId="164" fontId="2" fillId="2" borderId="1" xfId="0" applyNumberFormat="1" applyFont="1" applyFill="1" applyBorder="1" applyAlignment="1" applyProtection="1">
      <alignment vertical="top" wrapText="1"/>
      <protection locked="0"/>
    </xf>
    <xf numFmtId="0" fontId="1" fillId="3" borderId="1" xfId="0" applyFont="1" applyFill="1" applyBorder="1" applyAlignment="1">
      <alignment vertical="top" wrapText="1"/>
    </xf>
    <xf numFmtId="164" fontId="2" fillId="7" borderId="1" xfId="0" applyNumberFormat="1" applyFont="1" applyFill="1" applyBorder="1" applyAlignment="1" applyProtection="1">
      <alignment vertical="top" wrapText="1"/>
      <protection locked="0"/>
    </xf>
    <xf numFmtId="164" fontId="2" fillId="0" borderId="0" xfId="0" applyNumberFormat="1" applyFont="1"/>
    <xf numFmtId="0" fontId="7" fillId="0" borderId="0" xfId="0" applyFont="1"/>
    <xf numFmtId="0" fontId="1" fillId="0" borderId="1" xfId="0" applyFont="1" applyBorder="1" applyAlignment="1">
      <alignment vertical="center" wrapText="1"/>
    </xf>
    <xf numFmtId="0" fontId="0" fillId="0" borderId="0" xfId="0" applyAlignment="1">
      <alignment vertical="center"/>
    </xf>
    <xf numFmtId="0" fontId="1" fillId="3" borderId="1" xfId="0" applyFont="1" applyFill="1" applyBorder="1" applyAlignment="1">
      <alignment horizontal="left"/>
    </xf>
    <xf numFmtId="0" fontId="1" fillId="0" borderId="2" xfId="0" applyFont="1" applyBorder="1" applyAlignment="1">
      <alignment vertical="center" wrapText="1"/>
    </xf>
    <xf numFmtId="0" fontId="1" fillId="0" borderId="3" xfId="0" applyFont="1" applyBorder="1" applyAlignment="1">
      <alignment vertical="center" wrapText="1"/>
    </xf>
    <xf numFmtId="0" fontId="2" fillId="2" borderId="2" xfId="0" applyFont="1" applyFill="1" applyBorder="1" applyAlignment="1" applyProtection="1">
      <alignment vertical="center"/>
      <protection locked="0"/>
    </xf>
    <xf numFmtId="0" fontId="2" fillId="2" borderId="0" xfId="0" applyFont="1" applyFill="1" applyBorder="1" applyAlignment="1" applyProtection="1">
      <alignment vertical="center"/>
      <protection locked="0"/>
    </xf>
    <xf numFmtId="0" fontId="1" fillId="0" borderId="2" xfId="0" applyFont="1" applyBorder="1"/>
    <xf numFmtId="0" fontId="1" fillId="0" borderId="0" xfId="0" applyFont="1" applyBorder="1"/>
    <xf numFmtId="0" fontId="1" fillId="0" borderId="3" xfId="0" applyFont="1" applyBorder="1"/>
    <xf numFmtId="0" fontId="2" fillId="2" borderId="3" xfId="0" applyFont="1" applyFill="1" applyBorder="1" applyAlignment="1" applyProtection="1">
      <alignment vertical="center"/>
      <protection locked="0"/>
    </xf>
    <xf numFmtId="0" fontId="0" fillId="0" borderId="0" xfId="0" applyProtection="1"/>
  </cellXfs>
  <cellStyles count="1">
    <cellStyle name="Normal" xfId="0" builtinId="0"/>
  </cellStyles>
  <dxfs count="5">
    <dxf>
      <fill>
        <patternFill patternType="solid">
          <fgColor rgb="FFF8CBAD"/>
        </patternFill>
      </fill>
    </dxf>
    <dxf>
      <fill>
        <patternFill patternType="solid">
          <fgColor rgb="FFC6EFCE"/>
        </patternFill>
      </fill>
    </dxf>
    <dxf>
      <font>
        <b/>
        <color rgb="FF006100"/>
        <name val="Arial"/>
      </font>
      <fill>
        <patternFill patternType="solid">
          <fgColor rgb="FFC6EFCE"/>
        </patternFill>
      </fill>
    </dxf>
    <dxf>
      <font>
        <b/>
        <color rgb="FF7F6000"/>
        <name val="Arial"/>
      </font>
      <fill>
        <patternFill patternType="solid">
          <fgColor rgb="FFFFE699"/>
        </patternFill>
      </fill>
    </dxf>
    <dxf>
      <font>
        <b/>
        <color rgb="FF9C0006"/>
        <name val="Arial"/>
      </font>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9"/>
  </sheetPr>
  <dimension ref="A1:AI310"/>
  <sheetViews>
    <sheetView tabSelected="1" workbookViewId="0">
      <pane xSplit="1" ySplit="10" topLeftCell="B11" activePane="bottomRight" state="frozen"/>
      <selection pane="topRight" activeCell="B1" sqref="B1"/>
      <selection pane="bottomLeft" activeCell="A11" sqref="A11"/>
      <selection pane="bottomRight" activeCell="B4" sqref="B4:C4"/>
    </sheetView>
  </sheetViews>
  <sheetFormatPr baseColWidth="10" defaultColWidth="9.140625" defaultRowHeight="15" x14ac:dyDescent="0.25"/>
  <cols>
    <col min="1" max="1" width="38" customWidth="1"/>
    <col min="2" max="2" width="22" customWidth="1"/>
    <col min="3" max="3" width="26.7109375" customWidth="1"/>
    <col min="4" max="4" width="28.7109375" customWidth="1"/>
    <col min="5" max="5" width="17.7109375" customWidth="1"/>
    <col min="6" max="6" width="16" customWidth="1"/>
    <col min="7" max="7" width="24" customWidth="1"/>
    <col min="8" max="9" width="10" customWidth="1"/>
    <col min="10" max="10" width="17" customWidth="1"/>
    <col min="11" max="12" width="12" customWidth="1"/>
    <col min="13" max="13" width="52" customWidth="1"/>
    <col min="14" max="25" width="11" customWidth="1"/>
    <col min="26" max="26" width="32" customWidth="1"/>
    <col min="28" max="35" width="13" hidden="1" customWidth="1"/>
  </cols>
  <sheetData>
    <row r="1" spans="1:35" ht="30" customHeight="1" x14ac:dyDescent="0.3">
      <c r="A1" s="1" t="s">
        <v>0</v>
      </c>
    </row>
    <row r="2" spans="1:35" ht="21" customHeight="1" x14ac:dyDescent="0.25">
      <c r="A2" s="2" t="s">
        <v>152</v>
      </c>
    </row>
    <row r="3" spans="1:35" ht="21" customHeight="1" x14ac:dyDescent="0.25">
      <c r="A3" s="3" t="s">
        <v>153</v>
      </c>
      <c r="J3" s="3" t="s">
        <v>154</v>
      </c>
    </row>
    <row r="4" spans="1:35" ht="21" customHeight="1" x14ac:dyDescent="0.25">
      <c r="A4" s="16" t="s">
        <v>1</v>
      </c>
      <c r="B4" s="21"/>
      <c r="C4" s="26"/>
      <c r="D4" s="19" t="s">
        <v>4</v>
      </c>
      <c r="E4" s="20"/>
      <c r="F4" s="21"/>
      <c r="G4" s="22"/>
      <c r="H4" s="22"/>
      <c r="I4" s="22"/>
      <c r="J4" s="23" t="s">
        <v>6</v>
      </c>
      <c r="K4" s="24"/>
      <c r="L4" s="25"/>
      <c r="M4" s="18">
        <f>COUNTIF($AB$11:$AB$310,"?*")</f>
        <v>0</v>
      </c>
    </row>
    <row r="5" spans="1:35" ht="21" customHeight="1" x14ac:dyDescent="0.25">
      <c r="A5" s="16" t="s">
        <v>2</v>
      </c>
      <c r="B5" s="21"/>
      <c r="C5" s="26"/>
      <c r="D5" s="19" t="s">
        <v>5</v>
      </c>
      <c r="E5" s="20"/>
      <c r="F5" s="21"/>
      <c r="G5" s="22"/>
      <c r="H5" s="22"/>
      <c r="I5" s="22"/>
      <c r="J5" s="23" t="s">
        <v>7</v>
      </c>
      <c r="K5" s="24"/>
      <c r="L5" s="25"/>
      <c r="M5" s="18">
        <f>COUNTIF($M$11:$M$310,"⚠*")</f>
        <v>0</v>
      </c>
    </row>
    <row r="6" spans="1:35" ht="21" customHeight="1" x14ac:dyDescent="0.25">
      <c r="A6" s="16" t="s">
        <v>3</v>
      </c>
      <c r="B6" s="21"/>
      <c r="C6" s="26"/>
      <c r="D6" s="27"/>
      <c r="E6" s="27"/>
      <c r="F6" s="27"/>
      <c r="G6" s="27"/>
      <c r="H6" s="27"/>
      <c r="I6" s="27"/>
      <c r="J6" s="23" t="s">
        <v>8</v>
      </c>
      <c r="K6" s="24"/>
      <c r="L6" s="25"/>
      <c r="M6" s="18">
        <f>SUM($AF$11:$AF$310)</f>
        <v>0</v>
      </c>
    </row>
    <row r="7" spans="1:35" ht="21" customHeight="1" x14ac:dyDescent="0.25">
      <c r="A7" s="16" t="s">
        <v>89</v>
      </c>
      <c r="B7" s="21"/>
      <c r="C7" s="26"/>
      <c r="D7" s="27"/>
      <c r="E7" s="27"/>
      <c r="F7" s="27"/>
      <c r="G7" s="27"/>
      <c r="H7" s="27"/>
      <c r="I7" s="27"/>
      <c r="J7" s="23" t="s">
        <v>9</v>
      </c>
      <c r="K7" s="24"/>
      <c r="L7" s="25"/>
      <c r="M7" s="18" t="str">
        <f>IF((B4="")+(B5="")+(B6="")+(B7="")+(F4="")+(F5="")&gt;0,"Corrija: complete los datos del área marcados con *",IF(M4=0,"Aún no hay actividades",IF(M5&gt;0,"Corrija las filas marcadas con ⚠ en rojo","✔ Listo para enviar")))</f>
        <v>Corrija: complete los datos del área marcados con *</v>
      </c>
    </row>
    <row r="8" spans="1:35" ht="21" customHeight="1" x14ac:dyDescent="0.25">
      <c r="A8" s="17"/>
      <c r="B8" s="17"/>
      <c r="C8" s="17"/>
      <c r="D8" s="27"/>
      <c r="E8" s="27"/>
      <c r="F8" s="27"/>
      <c r="G8" s="27"/>
      <c r="H8" s="27"/>
      <c r="I8" s="27"/>
    </row>
    <row r="9" spans="1:35" ht="21" customHeight="1" x14ac:dyDescent="0.25"/>
    <row r="10" spans="1:35" ht="42" customHeight="1" x14ac:dyDescent="0.25">
      <c r="A10" s="6" t="s">
        <v>10</v>
      </c>
      <c r="B10" s="6" t="s">
        <v>11</v>
      </c>
      <c r="C10" s="6" t="s">
        <v>90</v>
      </c>
      <c r="D10" s="6" t="s">
        <v>91</v>
      </c>
      <c r="E10" s="6" t="s">
        <v>92</v>
      </c>
      <c r="F10" s="6" t="s">
        <v>12</v>
      </c>
      <c r="G10" s="6" t="s">
        <v>13</v>
      </c>
      <c r="H10" s="6" t="s">
        <v>14</v>
      </c>
      <c r="I10" s="6" t="s">
        <v>15</v>
      </c>
      <c r="J10" s="6" t="s">
        <v>16</v>
      </c>
      <c r="K10" s="6" t="s">
        <v>17</v>
      </c>
      <c r="L10" s="6" t="s">
        <v>18</v>
      </c>
      <c r="M10" s="7" t="s">
        <v>19</v>
      </c>
      <c r="N10" s="8" t="s">
        <v>20</v>
      </c>
      <c r="O10" s="8" t="s">
        <v>21</v>
      </c>
      <c r="P10" s="8" t="s">
        <v>22</v>
      </c>
      <c r="Q10" s="8" t="s">
        <v>23</v>
      </c>
      <c r="R10" s="8" t="s">
        <v>24</v>
      </c>
      <c r="S10" s="8" t="s">
        <v>25</v>
      </c>
      <c r="T10" s="8" t="s">
        <v>26</v>
      </c>
      <c r="U10" s="8" t="s">
        <v>27</v>
      </c>
      <c r="V10" s="8" t="s">
        <v>28</v>
      </c>
      <c r="W10" s="8" t="s">
        <v>29</v>
      </c>
      <c r="X10" s="8" t="s">
        <v>30</v>
      </c>
      <c r="Y10" s="8" t="s">
        <v>31</v>
      </c>
      <c r="Z10" s="6" t="s">
        <v>32</v>
      </c>
      <c r="AB10" s="4" t="s">
        <v>33</v>
      </c>
      <c r="AC10" s="4" t="s">
        <v>34</v>
      </c>
      <c r="AD10" s="4" t="s">
        <v>35</v>
      </c>
      <c r="AE10" s="4" t="s">
        <v>36</v>
      </c>
      <c r="AF10" s="4" t="s">
        <v>37</v>
      </c>
      <c r="AG10" s="4" t="s">
        <v>38</v>
      </c>
      <c r="AH10" s="4" t="s">
        <v>39</v>
      </c>
      <c r="AI10" s="4" t="s">
        <v>40</v>
      </c>
    </row>
    <row r="11" spans="1:35" x14ac:dyDescent="0.25">
      <c r="A11" s="9"/>
      <c r="B11" s="9"/>
      <c r="C11" s="9"/>
      <c r="D11" s="9"/>
      <c r="E11" s="9"/>
      <c r="F11" s="9"/>
      <c r="G11" s="9"/>
      <c r="H11" s="10"/>
      <c r="I11" s="10"/>
      <c r="J11" s="9"/>
      <c r="K11" s="11"/>
      <c r="L11" s="11"/>
      <c r="M11" s="12" t="str">
        <f t="shared" ref="M11:M74" si="0">IF(AB11="","",IF(AE11&lt;&gt;"","⚠ "&amp;AE11,"✔ "&amp;AI11&amp;IF(AG11&gt;0," · ⚠ "&amp;AG11&amp;IF(AG11=1," fecha cae"," fechas caen")&amp;" en festivo"&amp;IF(OR(AB11="Un día",AB11="Fechas específicas"),": revise la fecha",": se pasará al día hábil siguiente"),"")))</f>
        <v/>
      </c>
      <c r="N11" s="13"/>
      <c r="O11" s="13"/>
      <c r="P11" s="13"/>
      <c r="Q11" s="13"/>
      <c r="R11" s="13"/>
      <c r="S11" s="13"/>
      <c r="T11" s="13"/>
      <c r="U11" s="13"/>
      <c r="V11" s="13"/>
      <c r="W11" s="13"/>
      <c r="X11" s="13"/>
      <c r="Y11" s="13"/>
      <c r="Z11" s="9"/>
      <c r="AB11" t="str">
        <f t="shared" ref="AB11:AB74" si="1">IF(COUNTA(A11:L11,N11:Y11)=0,"",IF(OR(J11="En fechas específicas",AND(OR(J11="",J11="No"),K11="",COUNT(N11:Y11)&gt;0)),"Fechas específicas",IF(OR(J11="",J11="No"),IF(OR(L11="",L11=K11),"Un día","Varios días"),J11)))</f>
        <v/>
      </c>
      <c r="AC11">
        <f t="shared" ref="AC11:AC74" si="2">IF(AB11="Cada mes",1,IF(AB11="Cada 2 meses",2,IF(AB11="Cada 3 meses",3,IF(AB11="Cada 6 meses",6,0))))</f>
        <v>0</v>
      </c>
      <c r="AD11">
        <f t="shared" ref="AD11:AD74" si="3">IF(ISNUMBER(K11),INT((DAY(K11)-1)/7)+1,0)</f>
        <v>0</v>
      </c>
      <c r="AE11" t="str">
        <f t="shared" ref="AE11:AE74" si="4">IF(AB11="","",IF(A11="","Falta el nombre de la actividad",IF(B11="","Falta la categoría",IF(COUNTIF(Lista_Categoria,B11)=0,"Elija la categoría de la lista",IF(AND(F11="",_xlfn.SINGLE(SedePrincipal)=""),"Falta la sede: elíjala aquí o en «Datos del área»",IF(AND(F11&lt;&gt;"",COUNTIF(Lista_Sede,F11)=0),"Elija la sede de la lista",IF(AND(E11="",_xlfn.SINGLE(CalendarioPrincipal)=""),"Falta el calendario (Académico o Administrativo): elíjalo aquí o en «Datos del área»",IF(AND(E11&lt;&gt;"",COUNTIF(Lista_Calendario,E11)=0),"Elija el calendario de la lista",IF(G11="","Falta el lugar",IF(OR(AND(H11&lt;&gt;"",NOT(ISNUMBER(H11))),AND(I11&lt;&gt;"",NOT(ISNUMBER(I11)))),"Hora no válida: use hh:mm (ej. 14:30)",IF(AND(ISNUMBER(H11),ISNUMBER(I11),I11&lt;H11),"La hora fin es antes de la hora inicio",IF(AND(J11&lt;&gt;"",COUNTIF(Lista_Repite,J11)=0),"Elija una opción de la lista «¿Se repite?»",IF(AB11="Fechas específicas",IF(COUNTA(N11:Y11)&lt;&gt;COUNT(N11:Y11),"Alguna fecha de Fecha 1 a Fecha 12 no es válida: use dd/mm/aaaa",IF(COUNT(N11:Y11)=0,"Escriba las fechas en Fecha 1, Fecha 2…","")),IF(COUNTA(N11:Y11)&gt;0,"Escribió fechas en Fecha 1…12: elija «En fechas específicas» o bórrelas",IF(K11="","Falta la fecha en «Desde»",IF(NOT(ISNUMBER(K11)),"La fecha «Desde» no es válida: use dd/mm/aaaa",IF(AND(L11&lt;&gt;"",NOT(ISNUMBER(L11))),"La fecha «Hasta» no es válida: use dd/mm/aaaa",IF(AND(ISNUMBER(L11),L11&lt;K11),"«Hasta» es antes de «Desde»",IF(AND(AB11&lt;&gt;"Un día",AB11&lt;&gt;"Varios días",L11=""),"Falta «Hasta»: la última fecha en que se repite",IF(AND(ISNUMBER(L11),L11-K11&gt;730),"El periodo no puede pasar de 2 años",""))))))))))))))))))))</f>
        <v/>
      </c>
      <c r="AF11" t="str">
        <f t="shared" ref="AF11:AF74" si="5">IF(OR(AB11="",AE11&lt;&gt;""),"",IF(AB11="Fechas específicas",COUNT(N11:Y11),IF(OR(AB11="Un día",AB11="Varios días"),1,SUMPRODUCT((Dias&lt;=L11-K11)*((AB11="Cada semana")*(MOD(Dias,7)=0)+(AB11="Cada 15 días")*(MOD(Dias,14)=0)+(AC11&gt;0)*(WEEKDAY(K11+Dias)=WEEKDAY(K11))*((AD11=5)*(MONTH(K11+Dias+7)&lt;&gt;MONTH(K11+Dias))+(AD11&lt;5)*(INT((DAY(K11+Dias)-1)/7)+1=AD11))*(MOD((YEAR(K11+Dias)-YEAR(K11))*12+MONTH(K11+Dias)-MONTH(K11),MAX(AC11,1))=0))))))</f>
        <v/>
      </c>
      <c r="AG11">
        <f t="shared" ref="AG11:AG74" si="6">IF(AF11="",0,IF(AB11="Fechas específicas",SUMPRODUCT(COUNTIF(Festivos,N11:Y11)),IF(AB11="Un día",COUNTIF(Festivos,K11),IF(AB11="Varios días",0,SUMPRODUCT((Dias&lt;=L11-K11)*((AB11="Cada semana")*(MOD(Dias,7)=0)+(AB11="Cada 15 días")*(MOD(Dias,14)=0)+(AC11&gt;0)*(WEEKDAY(K11+Dias)=WEEKDAY(K11))*((AD11=5)*(MONTH(K11+Dias+7)&lt;&gt;MONTH(K11+Dias))+(AD11&lt;5)*(INT((DAY(K11+Dias)-1)/7)+1=AD11))*(MOD((YEAR(K11+Dias)-YEAR(K11))*12+MONTH(K11+Dias)-MONTH(K11),MAX(AC11,1))=0))*COUNTIF(Festivos,K11+Dias))))))</f>
        <v>0</v>
      </c>
      <c r="AH11" t="str">
        <f t="shared" ref="AH11:AH74" si="7">IF(AB11&lt;&gt;"Fechas específicas","",IF(ISNUMBER(N11),DAY(N11)&amp;" "&amp;CHOOSE(MONTH(N11),"ene","feb","mar","abr","may","jun","jul","ago","sep","oct","nov","dic")&amp;", ","")&amp;IF(ISNUMBER(O11),DAY(O11)&amp;" "&amp;CHOOSE(MONTH(O11),"ene","feb","mar","abr","may","jun","jul","ago","sep","oct","nov","dic")&amp;", ","")&amp;IF(ISNUMBER(P11),DAY(P11)&amp;" "&amp;CHOOSE(MONTH(P11),"ene","feb","mar","abr","may","jun","jul","ago","sep","oct","nov","dic")&amp;", ","")&amp;IF(ISNUMBER(Q11),DAY(Q11)&amp;" "&amp;CHOOSE(MONTH(Q11),"ene","feb","mar","abr","may","jun","jul","ago","sep","oct","nov","dic")&amp;", ","")&amp;IF(ISNUMBER(R11),DAY(R11)&amp;" "&amp;CHOOSE(MONTH(R11),"ene","feb","mar","abr","may","jun","jul","ago","sep","oct","nov","dic")&amp;", ","")&amp;IF(ISNUMBER(S11),DAY(S11)&amp;" "&amp;CHOOSE(MONTH(S11),"ene","feb","mar","abr","may","jun","jul","ago","sep","oct","nov","dic")&amp;", ","")&amp;IF(ISNUMBER(T11),DAY(T11)&amp;" "&amp;CHOOSE(MONTH(T11),"ene","feb","mar","abr","may","jun","jul","ago","sep","oct","nov","dic")&amp;", ","")&amp;IF(ISNUMBER(U11),DAY(U11)&amp;" "&amp;CHOOSE(MONTH(U11),"ene","feb","mar","abr","may","jun","jul","ago","sep","oct","nov","dic")&amp;", ","")&amp;IF(ISNUMBER(V11),DAY(V11)&amp;" "&amp;CHOOSE(MONTH(V11),"ene","feb","mar","abr","may","jun","jul","ago","sep","oct","nov","dic")&amp;", ","")&amp;IF(ISNUMBER(W11),DAY(W11)&amp;" "&amp;CHOOSE(MONTH(W11),"ene","feb","mar","abr","may","jun","jul","ago","sep","oct","nov","dic")&amp;", ","")&amp;IF(ISNUMBER(X11),DAY(X11)&amp;" "&amp;CHOOSE(MONTH(X11),"ene","feb","mar","abr","may","jun","jul","ago","sep","oct","nov","dic")&amp;", ","")&amp;IF(ISNUMBER(Y11),DAY(Y11)&amp;" "&amp;CHOOSE(MONTH(Y11),"ene","feb","mar","abr","may","jun","jul","ago","sep","oct","nov","dic")&amp;", ",""))</f>
        <v/>
      </c>
      <c r="AI11" t="str">
        <f t="shared" ref="AI11:AI74" si="8">IF(OR(AB11="",AE11&lt;&gt;""),"",IF(AB11="Un día","Un día: "&amp;CHOOSE(WEEKDAY(K11,2),"lunes","martes","miércoles","jueves","viernes","sábado","domingo")&amp;" "&amp;TEXT(DAY(K11),"00")&amp;"/"&amp;TEXT(MONTH(K11),"00")&amp;"/"&amp;YEAR(K11),IF(AB11="Varios días","Del "&amp;TEXT(DAY(K11),"00")&amp;"/"&amp;TEXT(MONTH(K11),"00")&amp;"/"&amp;YEAR(K11)&amp;" al "&amp;TEXT(DAY(L11),"00")&amp;"/"&amp;TEXT(MONTH(L11),"00")&amp;"/"&amp;YEAR(L11)&amp;" ("&amp;(L11-K11+1)&amp;" días)",IF(AB11="Fechas específicas",AF11&amp;IF(AF11=1," fecha: "," fechas: ")&amp;LEFT(AH11,LEN(AH11)-2),IF(AB11="Cada semana","Todos los "&amp;CHOOSE(WEEKDAY(K11,2),"lunes","martes","miércoles","jueves","viernes","sábados","domingos"),IF(AB11="Cada 15 días","Cada 15 días ("&amp;CHOOSE(WEEKDAY(K11,2),"lunes","martes","miércoles","jueves","viernes","sábados","domingos")&amp;" de por medio)",CHOOSE(AD11,"Primer","Segundo","Tercer","Cuarto","Último")&amp;" "&amp;CHOOSE(WEEKDAY(K11,2),"lunes","martes","miércoles","jueves","viernes","sábado","domingo")&amp;IF(AC11=1," de cada mes"," cada "&amp;AC11&amp;" meses")))&amp;", del "&amp;TEXT(DAY(K11),"00")&amp;"/"&amp;TEXT(MONTH(K11),"00")&amp;"/"&amp;YEAR(K11)&amp;" al "&amp;TEXT(DAY(L11),"00")&amp;"/"&amp;TEXT(MONTH(L11),"00")&amp;"/"&amp;YEAR(L11)&amp;" · "&amp;AF11&amp;IF(AF11=1," fecha"," fechas")))))</f>
        <v/>
      </c>
    </row>
    <row r="12" spans="1:35" x14ac:dyDescent="0.25">
      <c r="A12" s="9"/>
      <c r="B12" s="9"/>
      <c r="C12" s="9"/>
      <c r="D12" s="9"/>
      <c r="E12" s="9"/>
      <c r="F12" s="9"/>
      <c r="G12" s="9"/>
      <c r="H12" s="10"/>
      <c r="I12" s="10"/>
      <c r="J12" s="9"/>
      <c r="K12" s="11"/>
      <c r="L12" s="11"/>
      <c r="M12" s="12" t="str">
        <f t="shared" si="0"/>
        <v/>
      </c>
      <c r="N12" s="13"/>
      <c r="O12" s="13"/>
      <c r="P12" s="13"/>
      <c r="Q12" s="13"/>
      <c r="R12" s="13"/>
      <c r="S12" s="13"/>
      <c r="T12" s="13"/>
      <c r="U12" s="13"/>
      <c r="V12" s="13"/>
      <c r="W12" s="13"/>
      <c r="X12" s="13"/>
      <c r="Y12" s="13"/>
      <c r="Z12" s="9"/>
      <c r="AB12" t="str">
        <f t="shared" si="1"/>
        <v/>
      </c>
      <c r="AC12">
        <f t="shared" si="2"/>
        <v>0</v>
      </c>
      <c r="AD12">
        <f t="shared" si="3"/>
        <v>0</v>
      </c>
      <c r="AE12" t="str">
        <f t="shared" si="4"/>
        <v/>
      </c>
      <c r="AF12" t="str">
        <f t="shared" si="5"/>
        <v/>
      </c>
      <c r="AG12">
        <f t="shared" si="6"/>
        <v>0</v>
      </c>
      <c r="AH12" t="str">
        <f t="shared" si="7"/>
        <v/>
      </c>
      <c r="AI12" t="str">
        <f t="shared" si="8"/>
        <v/>
      </c>
    </row>
    <row r="13" spans="1:35" x14ac:dyDescent="0.25">
      <c r="A13" s="9"/>
      <c r="B13" s="9"/>
      <c r="C13" s="9"/>
      <c r="D13" s="9"/>
      <c r="E13" s="9"/>
      <c r="F13" s="9"/>
      <c r="G13" s="9"/>
      <c r="H13" s="10"/>
      <c r="I13" s="10"/>
      <c r="J13" s="9"/>
      <c r="K13" s="11"/>
      <c r="L13" s="11"/>
      <c r="M13" s="12" t="str">
        <f t="shared" si="0"/>
        <v/>
      </c>
      <c r="N13" s="13"/>
      <c r="O13" s="13"/>
      <c r="P13" s="13"/>
      <c r="Q13" s="13"/>
      <c r="R13" s="13"/>
      <c r="S13" s="13"/>
      <c r="T13" s="13"/>
      <c r="U13" s="13"/>
      <c r="V13" s="13"/>
      <c r="W13" s="13"/>
      <c r="X13" s="13"/>
      <c r="Y13" s="13"/>
      <c r="Z13" s="9"/>
      <c r="AB13" t="str">
        <f t="shared" si="1"/>
        <v/>
      </c>
      <c r="AC13">
        <f t="shared" si="2"/>
        <v>0</v>
      </c>
      <c r="AD13">
        <f t="shared" si="3"/>
        <v>0</v>
      </c>
      <c r="AE13" t="str">
        <f t="shared" si="4"/>
        <v/>
      </c>
      <c r="AF13" t="str">
        <f t="shared" si="5"/>
        <v/>
      </c>
      <c r="AG13">
        <f t="shared" si="6"/>
        <v>0</v>
      </c>
      <c r="AH13" t="str">
        <f t="shared" si="7"/>
        <v/>
      </c>
      <c r="AI13" t="str">
        <f t="shared" si="8"/>
        <v/>
      </c>
    </row>
    <row r="14" spans="1:35" x14ac:dyDescent="0.25">
      <c r="A14" s="9"/>
      <c r="B14" s="9"/>
      <c r="C14" s="9"/>
      <c r="D14" s="9"/>
      <c r="E14" s="9"/>
      <c r="F14" s="9"/>
      <c r="G14" s="9"/>
      <c r="H14" s="10"/>
      <c r="I14" s="10"/>
      <c r="J14" s="9"/>
      <c r="K14" s="11"/>
      <c r="L14" s="11"/>
      <c r="M14" s="12" t="str">
        <f t="shared" si="0"/>
        <v/>
      </c>
      <c r="N14" s="13"/>
      <c r="O14" s="13"/>
      <c r="P14" s="13"/>
      <c r="Q14" s="13"/>
      <c r="R14" s="13"/>
      <c r="S14" s="13"/>
      <c r="T14" s="13"/>
      <c r="U14" s="13"/>
      <c r="V14" s="13"/>
      <c r="W14" s="13"/>
      <c r="X14" s="13"/>
      <c r="Y14" s="13"/>
      <c r="Z14" s="9"/>
      <c r="AB14" t="str">
        <f t="shared" si="1"/>
        <v/>
      </c>
      <c r="AC14">
        <f t="shared" si="2"/>
        <v>0</v>
      </c>
      <c r="AD14">
        <f t="shared" si="3"/>
        <v>0</v>
      </c>
      <c r="AE14" t="str">
        <f t="shared" si="4"/>
        <v/>
      </c>
      <c r="AF14" t="str">
        <f t="shared" si="5"/>
        <v/>
      </c>
      <c r="AG14">
        <f t="shared" si="6"/>
        <v>0</v>
      </c>
      <c r="AH14" t="str">
        <f t="shared" si="7"/>
        <v/>
      </c>
      <c r="AI14" t="str">
        <f t="shared" si="8"/>
        <v/>
      </c>
    </row>
    <row r="15" spans="1:35" x14ac:dyDescent="0.25">
      <c r="A15" s="9"/>
      <c r="B15" s="9"/>
      <c r="C15" s="9"/>
      <c r="D15" s="9"/>
      <c r="E15" s="9"/>
      <c r="F15" s="9"/>
      <c r="G15" s="9"/>
      <c r="H15" s="10"/>
      <c r="I15" s="10"/>
      <c r="J15" s="9"/>
      <c r="K15" s="11"/>
      <c r="L15" s="11"/>
      <c r="M15" s="12" t="str">
        <f t="shared" si="0"/>
        <v/>
      </c>
      <c r="N15" s="13"/>
      <c r="O15" s="13"/>
      <c r="P15" s="13"/>
      <c r="Q15" s="13"/>
      <c r="R15" s="13"/>
      <c r="S15" s="13"/>
      <c r="T15" s="13"/>
      <c r="U15" s="13"/>
      <c r="V15" s="13"/>
      <c r="W15" s="13"/>
      <c r="X15" s="13"/>
      <c r="Y15" s="13"/>
      <c r="Z15" s="9"/>
      <c r="AB15" t="str">
        <f t="shared" si="1"/>
        <v/>
      </c>
      <c r="AC15">
        <f t="shared" si="2"/>
        <v>0</v>
      </c>
      <c r="AD15">
        <f t="shared" si="3"/>
        <v>0</v>
      </c>
      <c r="AE15" t="str">
        <f t="shared" si="4"/>
        <v/>
      </c>
      <c r="AF15" t="str">
        <f t="shared" si="5"/>
        <v/>
      </c>
      <c r="AG15">
        <f t="shared" si="6"/>
        <v>0</v>
      </c>
      <c r="AH15" t="str">
        <f t="shared" si="7"/>
        <v/>
      </c>
      <c r="AI15" t="str">
        <f t="shared" si="8"/>
        <v/>
      </c>
    </row>
    <row r="16" spans="1:35" x14ac:dyDescent="0.25">
      <c r="A16" s="9"/>
      <c r="B16" s="9"/>
      <c r="C16" s="9"/>
      <c r="D16" s="9"/>
      <c r="E16" s="9"/>
      <c r="F16" s="9"/>
      <c r="G16" s="9"/>
      <c r="H16" s="10"/>
      <c r="I16" s="10"/>
      <c r="J16" s="9"/>
      <c r="K16" s="11"/>
      <c r="L16" s="11"/>
      <c r="M16" s="12" t="str">
        <f t="shared" si="0"/>
        <v/>
      </c>
      <c r="N16" s="13"/>
      <c r="O16" s="13"/>
      <c r="P16" s="13"/>
      <c r="Q16" s="13"/>
      <c r="R16" s="13"/>
      <c r="S16" s="13"/>
      <c r="T16" s="13"/>
      <c r="U16" s="13"/>
      <c r="V16" s="13"/>
      <c r="W16" s="13"/>
      <c r="X16" s="13"/>
      <c r="Y16" s="13"/>
      <c r="Z16" s="9"/>
      <c r="AB16" t="str">
        <f t="shared" si="1"/>
        <v/>
      </c>
      <c r="AC16">
        <f t="shared" si="2"/>
        <v>0</v>
      </c>
      <c r="AD16">
        <f t="shared" si="3"/>
        <v>0</v>
      </c>
      <c r="AE16" t="str">
        <f t="shared" si="4"/>
        <v/>
      </c>
      <c r="AF16" t="str">
        <f t="shared" si="5"/>
        <v/>
      </c>
      <c r="AG16">
        <f t="shared" si="6"/>
        <v>0</v>
      </c>
      <c r="AH16" t="str">
        <f t="shared" si="7"/>
        <v/>
      </c>
      <c r="AI16" t="str">
        <f t="shared" si="8"/>
        <v/>
      </c>
    </row>
    <row r="17" spans="1:35" x14ac:dyDescent="0.25">
      <c r="A17" s="9"/>
      <c r="B17" s="9"/>
      <c r="C17" s="9"/>
      <c r="D17" s="9"/>
      <c r="E17" s="9"/>
      <c r="F17" s="9"/>
      <c r="G17" s="9"/>
      <c r="H17" s="10"/>
      <c r="I17" s="10"/>
      <c r="J17" s="9"/>
      <c r="K17" s="11"/>
      <c r="L17" s="11"/>
      <c r="M17" s="12" t="str">
        <f t="shared" si="0"/>
        <v/>
      </c>
      <c r="N17" s="13"/>
      <c r="O17" s="13"/>
      <c r="P17" s="13"/>
      <c r="Q17" s="13"/>
      <c r="R17" s="13"/>
      <c r="S17" s="13"/>
      <c r="T17" s="13"/>
      <c r="U17" s="13"/>
      <c r="V17" s="13"/>
      <c r="W17" s="13"/>
      <c r="X17" s="13"/>
      <c r="Y17" s="13"/>
      <c r="Z17" s="9"/>
      <c r="AB17" t="str">
        <f t="shared" si="1"/>
        <v/>
      </c>
      <c r="AC17">
        <f t="shared" si="2"/>
        <v>0</v>
      </c>
      <c r="AD17">
        <f t="shared" si="3"/>
        <v>0</v>
      </c>
      <c r="AE17" t="str">
        <f t="shared" si="4"/>
        <v/>
      </c>
      <c r="AF17" t="str">
        <f t="shared" si="5"/>
        <v/>
      </c>
      <c r="AG17">
        <f t="shared" si="6"/>
        <v>0</v>
      </c>
      <c r="AH17" t="str">
        <f t="shared" si="7"/>
        <v/>
      </c>
      <c r="AI17" t="str">
        <f t="shared" si="8"/>
        <v/>
      </c>
    </row>
    <row r="18" spans="1:35" x14ac:dyDescent="0.25">
      <c r="A18" s="9"/>
      <c r="B18" s="9"/>
      <c r="C18" s="9"/>
      <c r="D18" s="9"/>
      <c r="E18" s="9"/>
      <c r="F18" s="9"/>
      <c r="G18" s="9"/>
      <c r="H18" s="10"/>
      <c r="I18" s="10"/>
      <c r="J18" s="9"/>
      <c r="K18" s="11"/>
      <c r="L18" s="11"/>
      <c r="M18" s="12" t="str">
        <f t="shared" si="0"/>
        <v/>
      </c>
      <c r="N18" s="13"/>
      <c r="O18" s="13"/>
      <c r="P18" s="13"/>
      <c r="Q18" s="13"/>
      <c r="R18" s="13"/>
      <c r="S18" s="13"/>
      <c r="T18" s="13"/>
      <c r="U18" s="13"/>
      <c r="V18" s="13"/>
      <c r="W18" s="13"/>
      <c r="X18" s="13"/>
      <c r="Y18" s="13"/>
      <c r="Z18" s="9"/>
      <c r="AB18" t="str">
        <f t="shared" si="1"/>
        <v/>
      </c>
      <c r="AC18">
        <f t="shared" si="2"/>
        <v>0</v>
      </c>
      <c r="AD18">
        <f t="shared" si="3"/>
        <v>0</v>
      </c>
      <c r="AE18" t="str">
        <f t="shared" si="4"/>
        <v/>
      </c>
      <c r="AF18" t="str">
        <f t="shared" si="5"/>
        <v/>
      </c>
      <c r="AG18">
        <f t="shared" si="6"/>
        <v>0</v>
      </c>
      <c r="AH18" t="str">
        <f t="shared" si="7"/>
        <v/>
      </c>
      <c r="AI18" t="str">
        <f t="shared" si="8"/>
        <v/>
      </c>
    </row>
    <row r="19" spans="1:35" x14ac:dyDescent="0.25">
      <c r="A19" s="9"/>
      <c r="B19" s="9"/>
      <c r="C19" s="9"/>
      <c r="D19" s="9"/>
      <c r="E19" s="9"/>
      <c r="F19" s="9"/>
      <c r="G19" s="9"/>
      <c r="H19" s="10"/>
      <c r="I19" s="10"/>
      <c r="J19" s="9"/>
      <c r="K19" s="11"/>
      <c r="L19" s="11"/>
      <c r="M19" s="12" t="str">
        <f t="shared" si="0"/>
        <v/>
      </c>
      <c r="N19" s="13"/>
      <c r="O19" s="13"/>
      <c r="P19" s="13"/>
      <c r="Q19" s="13"/>
      <c r="R19" s="13"/>
      <c r="S19" s="13"/>
      <c r="T19" s="13"/>
      <c r="U19" s="13"/>
      <c r="V19" s="13"/>
      <c r="W19" s="13"/>
      <c r="X19" s="13"/>
      <c r="Y19" s="13"/>
      <c r="Z19" s="9"/>
      <c r="AB19" t="str">
        <f t="shared" si="1"/>
        <v/>
      </c>
      <c r="AC19">
        <f t="shared" si="2"/>
        <v>0</v>
      </c>
      <c r="AD19">
        <f t="shared" si="3"/>
        <v>0</v>
      </c>
      <c r="AE19" t="str">
        <f t="shared" si="4"/>
        <v/>
      </c>
      <c r="AF19" t="str">
        <f t="shared" si="5"/>
        <v/>
      </c>
      <c r="AG19">
        <f t="shared" si="6"/>
        <v>0</v>
      </c>
      <c r="AH19" t="str">
        <f t="shared" si="7"/>
        <v/>
      </c>
      <c r="AI19" t="str">
        <f t="shared" si="8"/>
        <v/>
      </c>
    </row>
    <row r="20" spans="1:35" x14ac:dyDescent="0.25">
      <c r="A20" s="9"/>
      <c r="B20" s="9"/>
      <c r="C20" s="9"/>
      <c r="D20" s="9"/>
      <c r="E20" s="9"/>
      <c r="F20" s="9"/>
      <c r="G20" s="9"/>
      <c r="H20" s="10"/>
      <c r="I20" s="10"/>
      <c r="J20" s="9"/>
      <c r="K20" s="11"/>
      <c r="L20" s="11"/>
      <c r="M20" s="12" t="str">
        <f t="shared" si="0"/>
        <v/>
      </c>
      <c r="N20" s="13"/>
      <c r="O20" s="13"/>
      <c r="P20" s="13"/>
      <c r="Q20" s="13"/>
      <c r="R20" s="13"/>
      <c r="S20" s="13"/>
      <c r="T20" s="13"/>
      <c r="U20" s="13"/>
      <c r="V20" s="13"/>
      <c r="W20" s="13"/>
      <c r="X20" s="13"/>
      <c r="Y20" s="13"/>
      <c r="Z20" s="9"/>
      <c r="AB20" t="str">
        <f t="shared" si="1"/>
        <v/>
      </c>
      <c r="AC20">
        <f t="shared" si="2"/>
        <v>0</v>
      </c>
      <c r="AD20">
        <f t="shared" si="3"/>
        <v>0</v>
      </c>
      <c r="AE20" t="str">
        <f t="shared" si="4"/>
        <v/>
      </c>
      <c r="AF20" t="str">
        <f t="shared" si="5"/>
        <v/>
      </c>
      <c r="AG20">
        <f t="shared" si="6"/>
        <v>0</v>
      </c>
      <c r="AH20" t="str">
        <f t="shared" si="7"/>
        <v/>
      </c>
      <c r="AI20" t="str">
        <f t="shared" si="8"/>
        <v/>
      </c>
    </row>
    <row r="21" spans="1:35" x14ac:dyDescent="0.25">
      <c r="A21" s="9"/>
      <c r="B21" s="9"/>
      <c r="C21" s="9"/>
      <c r="D21" s="9"/>
      <c r="E21" s="9"/>
      <c r="F21" s="9"/>
      <c r="G21" s="9"/>
      <c r="H21" s="10"/>
      <c r="I21" s="10"/>
      <c r="J21" s="9"/>
      <c r="K21" s="11"/>
      <c r="L21" s="11"/>
      <c r="M21" s="12" t="str">
        <f t="shared" si="0"/>
        <v/>
      </c>
      <c r="N21" s="13"/>
      <c r="O21" s="13"/>
      <c r="P21" s="13"/>
      <c r="Q21" s="13"/>
      <c r="R21" s="13"/>
      <c r="S21" s="13"/>
      <c r="T21" s="13"/>
      <c r="U21" s="13"/>
      <c r="V21" s="13"/>
      <c r="W21" s="13"/>
      <c r="X21" s="13"/>
      <c r="Y21" s="13"/>
      <c r="Z21" s="9"/>
      <c r="AB21" t="str">
        <f t="shared" si="1"/>
        <v/>
      </c>
      <c r="AC21">
        <f t="shared" si="2"/>
        <v>0</v>
      </c>
      <c r="AD21">
        <f t="shared" si="3"/>
        <v>0</v>
      </c>
      <c r="AE21" t="str">
        <f t="shared" si="4"/>
        <v/>
      </c>
      <c r="AF21" t="str">
        <f t="shared" si="5"/>
        <v/>
      </c>
      <c r="AG21">
        <f t="shared" si="6"/>
        <v>0</v>
      </c>
      <c r="AH21" t="str">
        <f t="shared" si="7"/>
        <v/>
      </c>
      <c r="AI21" t="str">
        <f t="shared" si="8"/>
        <v/>
      </c>
    </row>
    <row r="22" spans="1:35" x14ac:dyDescent="0.25">
      <c r="A22" s="9"/>
      <c r="B22" s="9"/>
      <c r="C22" s="9"/>
      <c r="D22" s="9"/>
      <c r="E22" s="9"/>
      <c r="F22" s="9"/>
      <c r="G22" s="9"/>
      <c r="H22" s="10"/>
      <c r="I22" s="10"/>
      <c r="J22" s="9"/>
      <c r="K22" s="11"/>
      <c r="L22" s="11"/>
      <c r="M22" s="12" t="str">
        <f t="shared" si="0"/>
        <v/>
      </c>
      <c r="N22" s="13"/>
      <c r="O22" s="13"/>
      <c r="P22" s="13"/>
      <c r="Q22" s="13"/>
      <c r="R22" s="13"/>
      <c r="S22" s="13"/>
      <c r="T22" s="13"/>
      <c r="U22" s="13"/>
      <c r="V22" s="13"/>
      <c r="W22" s="13"/>
      <c r="X22" s="13"/>
      <c r="Y22" s="13"/>
      <c r="Z22" s="9"/>
      <c r="AB22" t="str">
        <f t="shared" si="1"/>
        <v/>
      </c>
      <c r="AC22">
        <f t="shared" si="2"/>
        <v>0</v>
      </c>
      <c r="AD22">
        <f t="shared" si="3"/>
        <v>0</v>
      </c>
      <c r="AE22" t="str">
        <f t="shared" si="4"/>
        <v/>
      </c>
      <c r="AF22" t="str">
        <f t="shared" si="5"/>
        <v/>
      </c>
      <c r="AG22">
        <f t="shared" si="6"/>
        <v>0</v>
      </c>
      <c r="AH22" t="str">
        <f t="shared" si="7"/>
        <v/>
      </c>
      <c r="AI22" t="str">
        <f t="shared" si="8"/>
        <v/>
      </c>
    </row>
    <row r="23" spans="1:35" x14ac:dyDescent="0.25">
      <c r="A23" s="9"/>
      <c r="B23" s="9"/>
      <c r="C23" s="9"/>
      <c r="D23" s="9"/>
      <c r="E23" s="9"/>
      <c r="F23" s="9"/>
      <c r="G23" s="9"/>
      <c r="H23" s="10"/>
      <c r="I23" s="10"/>
      <c r="J23" s="9"/>
      <c r="K23" s="11"/>
      <c r="L23" s="11"/>
      <c r="M23" s="12" t="str">
        <f t="shared" si="0"/>
        <v/>
      </c>
      <c r="N23" s="13"/>
      <c r="O23" s="13"/>
      <c r="P23" s="13"/>
      <c r="Q23" s="13"/>
      <c r="R23" s="13"/>
      <c r="S23" s="13"/>
      <c r="T23" s="13"/>
      <c r="U23" s="13"/>
      <c r="V23" s="13"/>
      <c r="W23" s="13"/>
      <c r="X23" s="13"/>
      <c r="Y23" s="13"/>
      <c r="Z23" s="9"/>
      <c r="AB23" t="str">
        <f t="shared" si="1"/>
        <v/>
      </c>
      <c r="AC23">
        <f t="shared" si="2"/>
        <v>0</v>
      </c>
      <c r="AD23">
        <f t="shared" si="3"/>
        <v>0</v>
      </c>
      <c r="AE23" t="str">
        <f t="shared" si="4"/>
        <v/>
      </c>
      <c r="AF23" t="str">
        <f t="shared" si="5"/>
        <v/>
      </c>
      <c r="AG23">
        <f t="shared" si="6"/>
        <v>0</v>
      </c>
      <c r="AH23" t="str">
        <f t="shared" si="7"/>
        <v/>
      </c>
      <c r="AI23" t="str">
        <f t="shared" si="8"/>
        <v/>
      </c>
    </row>
    <row r="24" spans="1:35" x14ac:dyDescent="0.25">
      <c r="A24" s="9"/>
      <c r="B24" s="9"/>
      <c r="C24" s="9"/>
      <c r="D24" s="9"/>
      <c r="E24" s="9"/>
      <c r="F24" s="9"/>
      <c r="G24" s="9"/>
      <c r="H24" s="10"/>
      <c r="I24" s="10"/>
      <c r="J24" s="9"/>
      <c r="K24" s="11"/>
      <c r="L24" s="11"/>
      <c r="M24" s="12" t="str">
        <f t="shared" si="0"/>
        <v/>
      </c>
      <c r="N24" s="13"/>
      <c r="O24" s="13"/>
      <c r="P24" s="13"/>
      <c r="Q24" s="13"/>
      <c r="R24" s="13"/>
      <c r="S24" s="13"/>
      <c r="T24" s="13"/>
      <c r="U24" s="13"/>
      <c r="V24" s="13"/>
      <c r="W24" s="13"/>
      <c r="X24" s="13"/>
      <c r="Y24" s="13"/>
      <c r="Z24" s="9"/>
      <c r="AB24" t="str">
        <f t="shared" si="1"/>
        <v/>
      </c>
      <c r="AC24">
        <f t="shared" si="2"/>
        <v>0</v>
      </c>
      <c r="AD24">
        <f t="shared" si="3"/>
        <v>0</v>
      </c>
      <c r="AE24" t="str">
        <f t="shared" si="4"/>
        <v/>
      </c>
      <c r="AF24" t="str">
        <f t="shared" si="5"/>
        <v/>
      </c>
      <c r="AG24">
        <f t="shared" si="6"/>
        <v>0</v>
      </c>
      <c r="AH24" t="str">
        <f t="shared" si="7"/>
        <v/>
      </c>
      <c r="AI24" t="str">
        <f t="shared" si="8"/>
        <v/>
      </c>
    </row>
    <row r="25" spans="1:35" x14ac:dyDescent="0.25">
      <c r="A25" s="9"/>
      <c r="B25" s="9"/>
      <c r="C25" s="9"/>
      <c r="D25" s="9"/>
      <c r="E25" s="9"/>
      <c r="F25" s="9"/>
      <c r="G25" s="9"/>
      <c r="H25" s="10"/>
      <c r="I25" s="10"/>
      <c r="J25" s="9"/>
      <c r="K25" s="11"/>
      <c r="L25" s="11"/>
      <c r="M25" s="12" t="str">
        <f t="shared" si="0"/>
        <v/>
      </c>
      <c r="N25" s="13"/>
      <c r="O25" s="13"/>
      <c r="P25" s="13"/>
      <c r="Q25" s="13"/>
      <c r="R25" s="13"/>
      <c r="S25" s="13"/>
      <c r="T25" s="13"/>
      <c r="U25" s="13"/>
      <c r="V25" s="13"/>
      <c r="W25" s="13"/>
      <c r="X25" s="13"/>
      <c r="Y25" s="13"/>
      <c r="Z25" s="9"/>
      <c r="AB25" t="str">
        <f t="shared" si="1"/>
        <v/>
      </c>
      <c r="AC25">
        <f t="shared" si="2"/>
        <v>0</v>
      </c>
      <c r="AD25">
        <f t="shared" si="3"/>
        <v>0</v>
      </c>
      <c r="AE25" t="str">
        <f t="shared" si="4"/>
        <v/>
      </c>
      <c r="AF25" t="str">
        <f t="shared" si="5"/>
        <v/>
      </c>
      <c r="AG25">
        <f t="shared" si="6"/>
        <v>0</v>
      </c>
      <c r="AH25" t="str">
        <f t="shared" si="7"/>
        <v/>
      </c>
      <c r="AI25" t="str">
        <f t="shared" si="8"/>
        <v/>
      </c>
    </row>
    <row r="26" spans="1:35" x14ac:dyDescent="0.25">
      <c r="A26" s="9"/>
      <c r="B26" s="9"/>
      <c r="C26" s="9"/>
      <c r="D26" s="9"/>
      <c r="E26" s="9"/>
      <c r="F26" s="9"/>
      <c r="G26" s="9"/>
      <c r="H26" s="10"/>
      <c r="I26" s="10"/>
      <c r="J26" s="9"/>
      <c r="K26" s="11"/>
      <c r="L26" s="11"/>
      <c r="M26" s="12" t="str">
        <f t="shared" si="0"/>
        <v/>
      </c>
      <c r="N26" s="13"/>
      <c r="O26" s="13"/>
      <c r="P26" s="13"/>
      <c r="Q26" s="13"/>
      <c r="R26" s="13"/>
      <c r="S26" s="13"/>
      <c r="T26" s="13"/>
      <c r="U26" s="13"/>
      <c r="V26" s="13"/>
      <c r="W26" s="13"/>
      <c r="X26" s="13"/>
      <c r="Y26" s="13"/>
      <c r="Z26" s="9"/>
      <c r="AB26" t="str">
        <f t="shared" si="1"/>
        <v/>
      </c>
      <c r="AC26">
        <f t="shared" si="2"/>
        <v>0</v>
      </c>
      <c r="AD26">
        <f t="shared" si="3"/>
        <v>0</v>
      </c>
      <c r="AE26" t="str">
        <f t="shared" si="4"/>
        <v/>
      </c>
      <c r="AF26" t="str">
        <f t="shared" si="5"/>
        <v/>
      </c>
      <c r="AG26">
        <f t="shared" si="6"/>
        <v>0</v>
      </c>
      <c r="AH26" t="str">
        <f t="shared" si="7"/>
        <v/>
      </c>
      <c r="AI26" t="str">
        <f t="shared" si="8"/>
        <v/>
      </c>
    </row>
    <row r="27" spans="1:35" x14ac:dyDescent="0.25">
      <c r="A27" s="9"/>
      <c r="B27" s="9"/>
      <c r="C27" s="9"/>
      <c r="D27" s="9"/>
      <c r="E27" s="9"/>
      <c r="F27" s="9"/>
      <c r="G27" s="9"/>
      <c r="H27" s="10"/>
      <c r="I27" s="10"/>
      <c r="J27" s="9"/>
      <c r="K27" s="11"/>
      <c r="L27" s="11"/>
      <c r="M27" s="12" t="str">
        <f t="shared" si="0"/>
        <v/>
      </c>
      <c r="N27" s="13"/>
      <c r="O27" s="13"/>
      <c r="P27" s="13"/>
      <c r="Q27" s="13"/>
      <c r="R27" s="13"/>
      <c r="S27" s="13"/>
      <c r="T27" s="13"/>
      <c r="U27" s="13"/>
      <c r="V27" s="13"/>
      <c r="W27" s="13"/>
      <c r="X27" s="13"/>
      <c r="Y27" s="13"/>
      <c r="Z27" s="9"/>
      <c r="AB27" t="str">
        <f t="shared" si="1"/>
        <v/>
      </c>
      <c r="AC27">
        <f t="shared" si="2"/>
        <v>0</v>
      </c>
      <c r="AD27">
        <f t="shared" si="3"/>
        <v>0</v>
      </c>
      <c r="AE27" t="str">
        <f t="shared" si="4"/>
        <v/>
      </c>
      <c r="AF27" t="str">
        <f t="shared" si="5"/>
        <v/>
      </c>
      <c r="AG27">
        <f t="shared" si="6"/>
        <v>0</v>
      </c>
      <c r="AH27" t="str">
        <f t="shared" si="7"/>
        <v/>
      </c>
      <c r="AI27" t="str">
        <f t="shared" si="8"/>
        <v/>
      </c>
    </row>
    <row r="28" spans="1:35" x14ac:dyDescent="0.25">
      <c r="A28" s="9"/>
      <c r="B28" s="9"/>
      <c r="C28" s="9"/>
      <c r="D28" s="9"/>
      <c r="E28" s="9"/>
      <c r="F28" s="9"/>
      <c r="G28" s="9"/>
      <c r="H28" s="10"/>
      <c r="I28" s="10"/>
      <c r="J28" s="9"/>
      <c r="K28" s="11"/>
      <c r="L28" s="11"/>
      <c r="M28" s="12" t="str">
        <f t="shared" si="0"/>
        <v/>
      </c>
      <c r="N28" s="13"/>
      <c r="O28" s="13"/>
      <c r="P28" s="13"/>
      <c r="Q28" s="13"/>
      <c r="R28" s="13"/>
      <c r="S28" s="13"/>
      <c r="T28" s="13"/>
      <c r="U28" s="13"/>
      <c r="V28" s="13"/>
      <c r="W28" s="13"/>
      <c r="X28" s="13"/>
      <c r="Y28" s="13"/>
      <c r="Z28" s="9"/>
      <c r="AB28" t="str">
        <f t="shared" si="1"/>
        <v/>
      </c>
      <c r="AC28">
        <f t="shared" si="2"/>
        <v>0</v>
      </c>
      <c r="AD28">
        <f t="shared" si="3"/>
        <v>0</v>
      </c>
      <c r="AE28" t="str">
        <f t="shared" si="4"/>
        <v/>
      </c>
      <c r="AF28" t="str">
        <f t="shared" si="5"/>
        <v/>
      </c>
      <c r="AG28">
        <f t="shared" si="6"/>
        <v>0</v>
      </c>
      <c r="AH28" t="str">
        <f t="shared" si="7"/>
        <v/>
      </c>
      <c r="AI28" t="str">
        <f t="shared" si="8"/>
        <v/>
      </c>
    </row>
    <row r="29" spans="1:35" x14ac:dyDescent="0.25">
      <c r="A29" s="9"/>
      <c r="B29" s="9"/>
      <c r="C29" s="9"/>
      <c r="D29" s="9"/>
      <c r="E29" s="9"/>
      <c r="F29" s="9"/>
      <c r="G29" s="9"/>
      <c r="H29" s="10"/>
      <c r="I29" s="10"/>
      <c r="J29" s="9"/>
      <c r="K29" s="11"/>
      <c r="L29" s="11"/>
      <c r="M29" s="12" t="str">
        <f t="shared" si="0"/>
        <v/>
      </c>
      <c r="N29" s="13"/>
      <c r="O29" s="13"/>
      <c r="P29" s="13"/>
      <c r="Q29" s="13"/>
      <c r="R29" s="13"/>
      <c r="S29" s="13"/>
      <c r="T29" s="13"/>
      <c r="U29" s="13"/>
      <c r="V29" s="13"/>
      <c r="W29" s="13"/>
      <c r="X29" s="13"/>
      <c r="Y29" s="13"/>
      <c r="Z29" s="9"/>
      <c r="AB29" t="str">
        <f t="shared" si="1"/>
        <v/>
      </c>
      <c r="AC29">
        <f t="shared" si="2"/>
        <v>0</v>
      </c>
      <c r="AD29">
        <f t="shared" si="3"/>
        <v>0</v>
      </c>
      <c r="AE29" t="str">
        <f t="shared" si="4"/>
        <v/>
      </c>
      <c r="AF29" t="str">
        <f t="shared" si="5"/>
        <v/>
      </c>
      <c r="AG29">
        <f t="shared" si="6"/>
        <v>0</v>
      </c>
      <c r="AH29" t="str">
        <f t="shared" si="7"/>
        <v/>
      </c>
      <c r="AI29" t="str">
        <f t="shared" si="8"/>
        <v/>
      </c>
    </row>
    <row r="30" spans="1:35" x14ac:dyDescent="0.25">
      <c r="A30" s="9"/>
      <c r="B30" s="9"/>
      <c r="C30" s="9"/>
      <c r="D30" s="9"/>
      <c r="E30" s="9"/>
      <c r="F30" s="9"/>
      <c r="G30" s="9"/>
      <c r="H30" s="10"/>
      <c r="I30" s="10"/>
      <c r="J30" s="9"/>
      <c r="K30" s="11"/>
      <c r="L30" s="11"/>
      <c r="M30" s="12" t="str">
        <f t="shared" si="0"/>
        <v/>
      </c>
      <c r="N30" s="13"/>
      <c r="O30" s="13"/>
      <c r="P30" s="13"/>
      <c r="Q30" s="13"/>
      <c r="R30" s="13"/>
      <c r="S30" s="13"/>
      <c r="T30" s="13"/>
      <c r="U30" s="13"/>
      <c r="V30" s="13"/>
      <c r="W30" s="13"/>
      <c r="X30" s="13"/>
      <c r="Y30" s="13"/>
      <c r="Z30" s="9"/>
      <c r="AB30" t="str">
        <f t="shared" si="1"/>
        <v/>
      </c>
      <c r="AC30">
        <f t="shared" si="2"/>
        <v>0</v>
      </c>
      <c r="AD30">
        <f t="shared" si="3"/>
        <v>0</v>
      </c>
      <c r="AE30" t="str">
        <f t="shared" si="4"/>
        <v/>
      </c>
      <c r="AF30" t="str">
        <f t="shared" si="5"/>
        <v/>
      </c>
      <c r="AG30">
        <f t="shared" si="6"/>
        <v>0</v>
      </c>
      <c r="AH30" t="str">
        <f t="shared" si="7"/>
        <v/>
      </c>
      <c r="AI30" t="str">
        <f t="shared" si="8"/>
        <v/>
      </c>
    </row>
    <row r="31" spans="1:35" x14ac:dyDescent="0.25">
      <c r="A31" s="9"/>
      <c r="B31" s="9"/>
      <c r="C31" s="9"/>
      <c r="D31" s="9"/>
      <c r="E31" s="9"/>
      <c r="F31" s="9"/>
      <c r="G31" s="9"/>
      <c r="H31" s="10"/>
      <c r="I31" s="10"/>
      <c r="J31" s="9"/>
      <c r="K31" s="11"/>
      <c r="L31" s="11"/>
      <c r="M31" s="12" t="str">
        <f t="shared" si="0"/>
        <v/>
      </c>
      <c r="N31" s="13"/>
      <c r="O31" s="13"/>
      <c r="P31" s="13"/>
      <c r="Q31" s="13"/>
      <c r="R31" s="13"/>
      <c r="S31" s="13"/>
      <c r="T31" s="13"/>
      <c r="U31" s="13"/>
      <c r="V31" s="13"/>
      <c r="W31" s="13"/>
      <c r="X31" s="13"/>
      <c r="Y31" s="13"/>
      <c r="Z31" s="9"/>
      <c r="AB31" t="str">
        <f t="shared" si="1"/>
        <v/>
      </c>
      <c r="AC31">
        <f t="shared" si="2"/>
        <v>0</v>
      </c>
      <c r="AD31">
        <f t="shared" si="3"/>
        <v>0</v>
      </c>
      <c r="AE31" t="str">
        <f t="shared" si="4"/>
        <v/>
      </c>
      <c r="AF31" t="str">
        <f t="shared" si="5"/>
        <v/>
      </c>
      <c r="AG31">
        <f t="shared" si="6"/>
        <v>0</v>
      </c>
      <c r="AH31" t="str">
        <f t="shared" si="7"/>
        <v/>
      </c>
      <c r="AI31" t="str">
        <f t="shared" si="8"/>
        <v/>
      </c>
    </row>
    <row r="32" spans="1:35" x14ac:dyDescent="0.25">
      <c r="A32" s="9"/>
      <c r="B32" s="9"/>
      <c r="C32" s="9"/>
      <c r="D32" s="9"/>
      <c r="E32" s="9"/>
      <c r="F32" s="9"/>
      <c r="G32" s="9"/>
      <c r="H32" s="10"/>
      <c r="I32" s="10"/>
      <c r="J32" s="9"/>
      <c r="K32" s="11"/>
      <c r="L32" s="11"/>
      <c r="M32" s="12" t="str">
        <f t="shared" si="0"/>
        <v/>
      </c>
      <c r="N32" s="13"/>
      <c r="O32" s="13"/>
      <c r="P32" s="13"/>
      <c r="Q32" s="13"/>
      <c r="R32" s="13"/>
      <c r="S32" s="13"/>
      <c r="T32" s="13"/>
      <c r="U32" s="13"/>
      <c r="V32" s="13"/>
      <c r="W32" s="13"/>
      <c r="X32" s="13"/>
      <c r="Y32" s="13"/>
      <c r="Z32" s="9"/>
      <c r="AB32" t="str">
        <f t="shared" si="1"/>
        <v/>
      </c>
      <c r="AC32">
        <f t="shared" si="2"/>
        <v>0</v>
      </c>
      <c r="AD32">
        <f t="shared" si="3"/>
        <v>0</v>
      </c>
      <c r="AE32" t="str">
        <f t="shared" si="4"/>
        <v/>
      </c>
      <c r="AF32" t="str">
        <f t="shared" si="5"/>
        <v/>
      </c>
      <c r="AG32">
        <f t="shared" si="6"/>
        <v>0</v>
      </c>
      <c r="AH32" t="str">
        <f t="shared" si="7"/>
        <v/>
      </c>
      <c r="AI32" t="str">
        <f t="shared" si="8"/>
        <v/>
      </c>
    </row>
    <row r="33" spans="1:35" x14ac:dyDescent="0.25">
      <c r="A33" s="9"/>
      <c r="B33" s="9"/>
      <c r="C33" s="9"/>
      <c r="D33" s="9"/>
      <c r="E33" s="9"/>
      <c r="F33" s="9"/>
      <c r="G33" s="9"/>
      <c r="H33" s="10"/>
      <c r="I33" s="10"/>
      <c r="J33" s="9"/>
      <c r="K33" s="11"/>
      <c r="L33" s="11"/>
      <c r="M33" s="12" t="str">
        <f t="shared" si="0"/>
        <v/>
      </c>
      <c r="N33" s="13"/>
      <c r="O33" s="13"/>
      <c r="P33" s="13"/>
      <c r="Q33" s="13"/>
      <c r="R33" s="13"/>
      <c r="S33" s="13"/>
      <c r="T33" s="13"/>
      <c r="U33" s="13"/>
      <c r="V33" s="13"/>
      <c r="W33" s="13"/>
      <c r="X33" s="13"/>
      <c r="Y33" s="13"/>
      <c r="Z33" s="9"/>
      <c r="AB33" t="str">
        <f t="shared" si="1"/>
        <v/>
      </c>
      <c r="AC33">
        <f t="shared" si="2"/>
        <v>0</v>
      </c>
      <c r="AD33">
        <f t="shared" si="3"/>
        <v>0</v>
      </c>
      <c r="AE33" t="str">
        <f t="shared" si="4"/>
        <v/>
      </c>
      <c r="AF33" t="str">
        <f t="shared" si="5"/>
        <v/>
      </c>
      <c r="AG33">
        <f t="shared" si="6"/>
        <v>0</v>
      </c>
      <c r="AH33" t="str">
        <f t="shared" si="7"/>
        <v/>
      </c>
      <c r="AI33" t="str">
        <f t="shared" si="8"/>
        <v/>
      </c>
    </row>
    <row r="34" spans="1:35" x14ac:dyDescent="0.25">
      <c r="A34" s="9"/>
      <c r="B34" s="9"/>
      <c r="C34" s="9"/>
      <c r="D34" s="9"/>
      <c r="E34" s="9"/>
      <c r="F34" s="9"/>
      <c r="G34" s="9"/>
      <c r="H34" s="10"/>
      <c r="I34" s="10"/>
      <c r="J34" s="9"/>
      <c r="K34" s="11"/>
      <c r="L34" s="11"/>
      <c r="M34" s="12" t="str">
        <f t="shared" si="0"/>
        <v/>
      </c>
      <c r="N34" s="13"/>
      <c r="O34" s="13"/>
      <c r="P34" s="13"/>
      <c r="Q34" s="13"/>
      <c r="R34" s="13"/>
      <c r="S34" s="13"/>
      <c r="T34" s="13"/>
      <c r="U34" s="13"/>
      <c r="V34" s="13"/>
      <c r="W34" s="13"/>
      <c r="X34" s="13"/>
      <c r="Y34" s="13"/>
      <c r="Z34" s="9"/>
      <c r="AB34" t="str">
        <f t="shared" si="1"/>
        <v/>
      </c>
      <c r="AC34">
        <f t="shared" si="2"/>
        <v>0</v>
      </c>
      <c r="AD34">
        <f t="shared" si="3"/>
        <v>0</v>
      </c>
      <c r="AE34" t="str">
        <f t="shared" si="4"/>
        <v/>
      </c>
      <c r="AF34" t="str">
        <f t="shared" si="5"/>
        <v/>
      </c>
      <c r="AG34">
        <f t="shared" si="6"/>
        <v>0</v>
      </c>
      <c r="AH34" t="str">
        <f t="shared" si="7"/>
        <v/>
      </c>
      <c r="AI34" t="str">
        <f t="shared" si="8"/>
        <v/>
      </c>
    </row>
    <row r="35" spans="1:35" x14ac:dyDescent="0.25">
      <c r="A35" s="9"/>
      <c r="B35" s="9"/>
      <c r="C35" s="9"/>
      <c r="D35" s="9"/>
      <c r="E35" s="9"/>
      <c r="F35" s="9"/>
      <c r="G35" s="9"/>
      <c r="H35" s="10"/>
      <c r="I35" s="10"/>
      <c r="J35" s="9"/>
      <c r="K35" s="11"/>
      <c r="L35" s="11"/>
      <c r="M35" s="12" t="str">
        <f t="shared" si="0"/>
        <v/>
      </c>
      <c r="N35" s="13"/>
      <c r="O35" s="13"/>
      <c r="P35" s="13"/>
      <c r="Q35" s="13"/>
      <c r="R35" s="13"/>
      <c r="S35" s="13"/>
      <c r="T35" s="13"/>
      <c r="U35" s="13"/>
      <c r="V35" s="13"/>
      <c r="W35" s="13"/>
      <c r="X35" s="13"/>
      <c r="Y35" s="13"/>
      <c r="Z35" s="9"/>
      <c r="AB35" t="str">
        <f t="shared" si="1"/>
        <v/>
      </c>
      <c r="AC35">
        <f t="shared" si="2"/>
        <v>0</v>
      </c>
      <c r="AD35">
        <f t="shared" si="3"/>
        <v>0</v>
      </c>
      <c r="AE35" t="str">
        <f t="shared" si="4"/>
        <v/>
      </c>
      <c r="AF35" t="str">
        <f t="shared" si="5"/>
        <v/>
      </c>
      <c r="AG35">
        <f t="shared" si="6"/>
        <v>0</v>
      </c>
      <c r="AH35" t="str">
        <f t="shared" si="7"/>
        <v/>
      </c>
      <c r="AI35" t="str">
        <f t="shared" si="8"/>
        <v/>
      </c>
    </row>
    <row r="36" spans="1:35" x14ac:dyDescent="0.25">
      <c r="A36" s="9"/>
      <c r="B36" s="9"/>
      <c r="C36" s="9"/>
      <c r="D36" s="9"/>
      <c r="E36" s="9"/>
      <c r="F36" s="9"/>
      <c r="G36" s="9"/>
      <c r="H36" s="10"/>
      <c r="I36" s="10"/>
      <c r="J36" s="9"/>
      <c r="K36" s="11"/>
      <c r="L36" s="11"/>
      <c r="M36" s="12" t="str">
        <f t="shared" si="0"/>
        <v/>
      </c>
      <c r="N36" s="13"/>
      <c r="O36" s="13"/>
      <c r="P36" s="13"/>
      <c r="Q36" s="13"/>
      <c r="R36" s="13"/>
      <c r="S36" s="13"/>
      <c r="T36" s="13"/>
      <c r="U36" s="13"/>
      <c r="V36" s="13"/>
      <c r="W36" s="13"/>
      <c r="X36" s="13"/>
      <c r="Y36" s="13"/>
      <c r="Z36" s="9"/>
      <c r="AB36" t="str">
        <f t="shared" si="1"/>
        <v/>
      </c>
      <c r="AC36">
        <f t="shared" si="2"/>
        <v>0</v>
      </c>
      <c r="AD36">
        <f t="shared" si="3"/>
        <v>0</v>
      </c>
      <c r="AE36" t="str">
        <f t="shared" si="4"/>
        <v/>
      </c>
      <c r="AF36" t="str">
        <f t="shared" si="5"/>
        <v/>
      </c>
      <c r="AG36">
        <f t="shared" si="6"/>
        <v>0</v>
      </c>
      <c r="AH36" t="str">
        <f t="shared" si="7"/>
        <v/>
      </c>
      <c r="AI36" t="str">
        <f t="shared" si="8"/>
        <v/>
      </c>
    </row>
    <row r="37" spans="1:35" x14ac:dyDescent="0.25">
      <c r="A37" s="9"/>
      <c r="B37" s="9"/>
      <c r="C37" s="9"/>
      <c r="D37" s="9"/>
      <c r="E37" s="9"/>
      <c r="F37" s="9"/>
      <c r="G37" s="9"/>
      <c r="H37" s="10"/>
      <c r="I37" s="10"/>
      <c r="J37" s="9"/>
      <c r="K37" s="11"/>
      <c r="L37" s="11"/>
      <c r="M37" s="12" t="str">
        <f t="shared" si="0"/>
        <v/>
      </c>
      <c r="N37" s="13"/>
      <c r="O37" s="13"/>
      <c r="P37" s="13"/>
      <c r="Q37" s="13"/>
      <c r="R37" s="13"/>
      <c r="S37" s="13"/>
      <c r="T37" s="13"/>
      <c r="U37" s="13"/>
      <c r="V37" s="13"/>
      <c r="W37" s="13"/>
      <c r="X37" s="13"/>
      <c r="Y37" s="13"/>
      <c r="Z37" s="9"/>
      <c r="AB37" t="str">
        <f t="shared" si="1"/>
        <v/>
      </c>
      <c r="AC37">
        <f t="shared" si="2"/>
        <v>0</v>
      </c>
      <c r="AD37">
        <f t="shared" si="3"/>
        <v>0</v>
      </c>
      <c r="AE37" t="str">
        <f t="shared" si="4"/>
        <v/>
      </c>
      <c r="AF37" t="str">
        <f t="shared" si="5"/>
        <v/>
      </c>
      <c r="AG37">
        <f t="shared" si="6"/>
        <v>0</v>
      </c>
      <c r="AH37" t="str">
        <f t="shared" si="7"/>
        <v/>
      </c>
      <c r="AI37" t="str">
        <f t="shared" si="8"/>
        <v/>
      </c>
    </row>
    <row r="38" spans="1:35" x14ac:dyDescent="0.25">
      <c r="A38" s="9"/>
      <c r="B38" s="9"/>
      <c r="C38" s="9"/>
      <c r="D38" s="9"/>
      <c r="E38" s="9"/>
      <c r="F38" s="9"/>
      <c r="G38" s="9"/>
      <c r="H38" s="10"/>
      <c r="I38" s="10"/>
      <c r="J38" s="9"/>
      <c r="K38" s="11"/>
      <c r="L38" s="11"/>
      <c r="M38" s="12" t="str">
        <f t="shared" si="0"/>
        <v/>
      </c>
      <c r="N38" s="13"/>
      <c r="O38" s="13"/>
      <c r="P38" s="13"/>
      <c r="Q38" s="13"/>
      <c r="R38" s="13"/>
      <c r="S38" s="13"/>
      <c r="T38" s="13"/>
      <c r="U38" s="13"/>
      <c r="V38" s="13"/>
      <c r="W38" s="13"/>
      <c r="X38" s="13"/>
      <c r="Y38" s="13"/>
      <c r="Z38" s="9"/>
      <c r="AB38" t="str">
        <f t="shared" si="1"/>
        <v/>
      </c>
      <c r="AC38">
        <f t="shared" si="2"/>
        <v>0</v>
      </c>
      <c r="AD38">
        <f t="shared" si="3"/>
        <v>0</v>
      </c>
      <c r="AE38" t="str">
        <f t="shared" si="4"/>
        <v/>
      </c>
      <c r="AF38" t="str">
        <f t="shared" si="5"/>
        <v/>
      </c>
      <c r="AG38">
        <f t="shared" si="6"/>
        <v>0</v>
      </c>
      <c r="AH38" t="str">
        <f t="shared" si="7"/>
        <v/>
      </c>
      <c r="AI38" t="str">
        <f t="shared" si="8"/>
        <v/>
      </c>
    </row>
    <row r="39" spans="1:35" x14ac:dyDescent="0.25">
      <c r="A39" s="9"/>
      <c r="B39" s="9"/>
      <c r="C39" s="9"/>
      <c r="D39" s="9"/>
      <c r="E39" s="9"/>
      <c r="F39" s="9"/>
      <c r="G39" s="9"/>
      <c r="H39" s="10"/>
      <c r="I39" s="10"/>
      <c r="J39" s="9"/>
      <c r="K39" s="11"/>
      <c r="L39" s="11"/>
      <c r="M39" s="12" t="str">
        <f t="shared" si="0"/>
        <v/>
      </c>
      <c r="N39" s="13"/>
      <c r="O39" s="13"/>
      <c r="P39" s="13"/>
      <c r="Q39" s="13"/>
      <c r="R39" s="13"/>
      <c r="S39" s="13"/>
      <c r="T39" s="13"/>
      <c r="U39" s="13"/>
      <c r="V39" s="13"/>
      <c r="W39" s="13"/>
      <c r="X39" s="13"/>
      <c r="Y39" s="13"/>
      <c r="Z39" s="9"/>
      <c r="AB39" t="str">
        <f t="shared" si="1"/>
        <v/>
      </c>
      <c r="AC39">
        <f t="shared" si="2"/>
        <v>0</v>
      </c>
      <c r="AD39">
        <f t="shared" si="3"/>
        <v>0</v>
      </c>
      <c r="AE39" t="str">
        <f t="shared" si="4"/>
        <v/>
      </c>
      <c r="AF39" t="str">
        <f t="shared" si="5"/>
        <v/>
      </c>
      <c r="AG39">
        <f t="shared" si="6"/>
        <v>0</v>
      </c>
      <c r="AH39" t="str">
        <f t="shared" si="7"/>
        <v/>
      </c>
      <c r="AI39" t="str">
        <f t="shared" si="8"/>
        <v/>
      </c>
    </row>
    <row r="40" spans="1:35" x14ac:dyDescent="0.25">
      <c r="A40" s="9"/>
      <c r="B40" s="9"/>
      <c r="C40" s="9"/>
      <c r="D40" s="9"/>
      <c r="E40" s="9"/>
      <c r="F40" s="9"/>
      <c r="G40" s="9"/>
      <c r="H40" s="10"/>
      <c r="I40" s="10"/>
      <c r="J40" s="9"/>
      <c r="K40" s="11"/>
      <c r="L40" s="11"/>
      <c r="M40" s="12" t="str">
        <f t="shared" si="0"/>
        <v/>
      </c>
      <c r="N40" s="13"/>
      <c r="O40" s="13"/>
      <c r="P40" s="13"/>
      <c r="Q40" s="13"/>
      <c r="R40" s="13"/>
      <c r="S40" s="13"/>
      <c r="T40" s="13"/>
      <c r="U40" s="13"/>
      <c r="V40" s="13"/>
      <c r="W40" s="13"/>
      <c r="X40" s="13"/>
      <c r="Y40" s="13"/>
      <c r="Z40" s="9"/>
      <c r="AB40" t="str">
        <f t="shared" si="1"/>
        <v/>
      </c>
      <c r="AC40">
        <f t="shared" si="2"/>
        <v>0</v>
      </c>
      <c r="AD40">
        <f t="shared" si="3"/>
        <v>0</v>
      </c>
      <c r="AE40" t="str">
        <f t="shared" si="4"/>
        <v/>
      </c>
      <c r="AF40" t="str">
        <f t="shared" si="5"/>
        <v/>
      </c>
      <c r="AG40">
        <f t="shared" si="6"/>
        <v>0</v>
      </c>
      <c r="AH40" t="str">
        <f t="shared" si="7"/>
        <v/>
      </c>
      <c r="AI40" t="str">
        <f t="shared" si="8"/>
        <v/>
      </c>
    </row>
    <row r="41" spans="1:35" x14ac:dyDescent="0.25">
      <c r="A41" s="9"/>
      <c r="B41" s="9"/>
      <c r="C41" s="9"/>
      <c r="D41" s="9"/>
      <c r="E41" s="9"/>
      <c r="F41" s="9"/>
      <c r="G41" s="9"/>
      <c r="H41" s="10"/>
      <c r="I41" s="10"/>
      <c r="J41" s="9"/>
      <c r="K41" s="11"/>
      <c r="L41" s="11"/>
      <c r="M41" s="12" t="str">
        <f t="shared" si="0"/>
        <v/>
      </c>
      <c r="N41" s="13"/>
      <c r="O41" s="13"/>
      <c r="P41" s="13"/>
      <c r="Q41" s="13"/>
      <c r="R41" s="13"/>
      <c r="S41" s="13"/>
      <c r="T41" s="13"/>
      <c r="U41" s="13"/>
      <c r="V41" s="13"/>
      <c r="W41" s="13"/>
      <c r="X41" s="13"/>
      <c r="Y41" s="13"/>
      <c r="Z41" s="9"/>
      <c r="AB41" t="str">
        <f t="shared" si="1"/>
        <v/>
      </c>
      <c r="AC41">
        <f t="shared" si="2"/>
        <v>0</v>
      </c>
      <c r="AD41">
        <f t="shared" si="3"/>
        <v>0</v>
      </c>
      <c r="AE41" t="str">
        <f t="shared" si="4"/>
        <v/>
      </c>
      <c r="AF41" t="str">
        <f t="shared" si="5"/>
        <v/>
      </c>
      <c r="AG41">
        <f t="shared" si="6"/>
        <v>0</v>
      </c>
      <c r="AH41" t="str">
        <f t="shared" si="7"/>
        <v/>
      </c>
      <c r="AI41" t="str">
        <f t="shared" si="8"/>
        <v/>
      </c>
    </row>
    <row r="42" spans="1:35" x14ac:dyDescent="0.25">
      <c r="A42" s="9"/>
      <c r="B42" s="9"/>
      <c r="C42" s="9"/>
      <c r="D42" s="9"/>
      <c r="E42" s="9"/>
      <c r="F42" s="9"/>
      <c r="G42" s="9"/>
      <c r="H42" s="10"/>
      <c r="I42" s="10"/>
      <c r="J42" s="9"/>
      <c r="K42" s="11"/>
      <c r="L42" s="11"/>
      <c r="M42" s="12" t="str">
        <f t="shared" si="0"/>
        <v/>
      </c>
      <c r="N42" s="13"/>
      <c r="O42" s="13"/>
      <c r="P42" s="13"/>
      <c r="Q42" s="13"/>
      <c r="R42" s="13"/>
      <c r="S42" s="13"/>
      <c r="T42" s="13"/>
      <c r="U42" s="13"/>
      <c r="V42" s="13"/>
      <c r="W42" s="13"/>
      <c r="X42" s="13"/>
      <c r="Y42" s="13"/>
      <c r="Z42" s="9"/>
      <c r="AB42" t="str">
        <f t="shared" si="1"/>
        <v/>
      </c>
      <c r="AC42">
        <f t="shared" si="2"/>
        <v>0</v>
      </c>
      <c r="AD42">
        <f t="shared" si="3"/>
        <v>0</v>
      </c>
      <c r="AE42" t="str">
        <f t="shared" si="4"/>
        <v/>
      </c>
      <c r="AF42" t="str">
        <f t="shared" si="5"/>
        <v/>
      </c>
      <c r="AG42">
        <f t="shared" si="6"/>
        <v>0</v>
      </c>
      <c r="AH42" t="str">
        <f t="shared" si="7"/>
        <v/>
      </c>
      <c r="AI42" t="str">
        <f t="shared" si="8"/>
        <v/>
      </c>
    </row>
    <row r="43" spans="1:35" x14ac:dyDescent="0.25">
      <c r="A43" s="9"/>
      <c r="B43" s="9"/>
      <c r="C43" s="9"/>
      <c r="D43" s="9"/>
      <c r="E43" s="9"/>
      <c r="F43" s="9"/>
      <c r="G43" s="9"/>
      <c r="H43" s="10"/>
      <c r="I43" s="10"/>
      <c r="J43" s="9"/>
      <c r="K43" s="11"/>
      <c r="L43" s="11"/>
      <c r="M43" s="12" t="str">
        <f t="shared" si="0"/>
        <v/>
      </c>
      <c r="N43" s="13"/>
      <c r="O43" s="13"/>
      <c r="P43" s="13"/>
      <c r="Q43" s="13"/>
      <c r="R43" s="13"/>
      <c r="S43" s="13"/>
      <c r="T43" s="13"/>
      <c r="U43" s="13"/>
      <c r="V43" s="13"/>
      <c r="W43" s="13"/>
      <c r="X43" s="13"/>
      <c r="Y43" s="13"/>
      <c r="Z43" s="9"/>
      <c r="AB43" t="str">
        <f t="shared" si="1"/>
        <v/>
      </c>
      <c r="AC43">
        <f t="shared" si="2"/>
        <v>0</v>
      </c>
      <c r="AD43">
        <f t="shared" si="3"/>
        <v>0</v>
      </c>
      <c r="AE43" t="str">
        <f t="shared" si="4"/>
        <v/>
      </c>
      <c r="AF43" t="str">
        <f t="shared" si="5"/>
        <v/>
      </c>
      <c r="AG43">
        <f t="shared" si="6"/>
        <v>0</v>
      </c>
      <c r="AH43" t="str">
        <f t="shared" si="7"/>
        <v/>
      </c>
      <c r="AI43" t="str">
        <f t="shared" si="8"/>
        <v/>
      </c>
    </row>
    <row r="44" spans="1:35" x14ac:dyDescent="0.25">
      <c r="A44" s="9"/>
      <c r="B44" s="9"/>
      <c r="C44" s="9"/>
      <c r="D44" s="9"/>
      <c r="E44" s="9"/>
      <c r="F44" s="9"/>
      <c r="G44" s="9"/>
      <c r="H44" s="10"/>
      <c r="I44" s="10"/>
      <c r="J44" s="9"/>
      <c r="K44" s="11"/>
      <c r="L44" s="11"/>
      <c r="M44" s="12" t="str">
        <f t="shared" si="0"/>
        <v/>
      </c>
      <c r="N44" s="13"/>
      <c r="O44" s="13"/>
      <c r="P44" s="13"/>
      <c r="Q44" s="13"/>
      <c r="R44" s="13"/>
      <c r="S44" s="13"/>
      <c r="T44" s="13"/>
      <c r="U44" s="13"/>
      <c r="V44" s="13"/>
      <c r="W44" s="13"/>
      <c r="X44" s="13"/>
      <c r="Y44" s="13"/>
      <c r="Z44" s="9"/>
      <c r="AB44" t="str">
        <f t="shared" si="1"/>
        <v/>
      </c>
      <c r="AC44">
        <f t="shared" si="2"/>
        <v>0</v>
      </c>
      <c r="AD44">
        <f t="shared" si="3"/>
        <v>0</v>
      </c>
      <c r="AE44" t="str">
        <f t="shared" si="4"/>
        <v/>
      </c>
      <c r="AF44" t="str">
        <f t="shared" si="5"/>
        <v/>
      </c>
      <c r="AG44">
        <f t="shared" si="6"/>
        <v>0</v>
      </c>
      <c r="AH44" t="str">
        <f t="shared" si="7"/>
        <v/>
      </c>
      <c r="AI44" t="str">
        <f t="shared" si="8"/>
        <v/>
      </c>
    </row>
    <row r="45" spans="1:35" x14ac:dyDescent="0.25">
      <c r="A45" s="9"/>
      <c r="B45" s="9"/>
      <c r="C45" s="9"/>
      <c r="D45" s="9"/>
      <c r="E45" s="9"/>
      <c r="F45" s="9"/>
      <c r="G45" s="9"/>
      <c r="H45" s="10"/>
      <c r="I45" s="10"/>
      <c r="J45" s="9"/>
      <c r="K45" s="11"/>
      <c r="L45" s="11"/>
      <c r="M45" s="12" t="str">
        <f t="shared" si="0"/>
        <v/>
      </c>
      <c r="N45" s="13"/>
      <c r="O45" s="13"/>
      <c r="P45" s="13"/>
      <c r="Q45" s="13"/>
      <c r="R45" s="13"/>
      <c r="S45" s="13"/>
      <c r="T45" s="13"/>
      <c r="U45" s="13"/>
      <c r="V45" s="13"/>
      <c r="W45" s="13"/>
      <c r="X45" s="13"/>
      <c r="Y45" s="13"/>
      <c r="Z45" s="9"/>
      <c r="AB45" t="str">
        <f t="shared" si="1"/>
        <v/>
      </c>
      <c r="AC45">
        <f t="shared" si="2"/>
        <v>0</v>
      </c>
      <c r="AD45">
        <f t="shared" si="3"/>
        <v>0</v>
      </c>
      <c r="AE45" t="str">
        <f t="shared" si="4"/>
        <v/>
      </c>
      <c r="AF45" t="str">
        <f t="shared" si="5"/>
        <v/>
      </c>
      <c r="AG45">
        <f t="shared" si="6"/>
        <v>0</v>
      </c>
      <c r="AH45" t="str">
        <f t="shared" si="7"/>
        <v/>
      </c>
      <c r="AI45" t="str">
        <f t="shared" si="8"/>
        <v/>
      </c>
    </row>
    <row r="46" spans="1:35" x14ac:dyDescent="0.25">
      <c r="A46" s="9"/>
      <c r="B46" s="9"/>
      <c r="C46" s="9"/>
      <c r="D46" s="9"/>
      <c r="E46" s="9"/>
      <c r="F46" s="9"/>
      <c r="G46" s="9"/>
      <c r="H46" s="10"/>
      <c r="I46" s="10"/>
      <c r="J46" s="9"/>
      <c r="K46" s="11"/>
      <c r="L46" s="11"/>
      <c r="M46" s="12" t="str">
        <f t="shared" si="0"/>
        <v/>
      </c>
      <c r="N46" s="13"/>
      <c r="O46" s="13"/>
      <c r="P46" s="13"/>
      <c r="Q46" s="13"/>
      <c r="R46" s="13"/>
      <c r="S46" s="13"/>
      <c r="T46" s="13"/>
      <c r="U46" s="13"/>
      <c r="V46" s="13"/>
      <c r="W46" s="13"/>
      <c r="X46" s="13"/>
      <c r="Y46" s="13"/>
      <c r="Z46" s="9"/>
      <c r="AB46" t="str">
        <f t="shared" si="1"/>
        <v/>
      </c>
      <c r="AC46">
        <f t="shared" si="2"/>
        <v>0</v>
      </c>
      <c r="AD46">
        <f t="shared" si="3"/>
        <v>0</v>
      </c>
      <c r="AE46" t="str">
        <f t="shared" si="4"/>
        <v/>
      </c>
      <c r="AF46" t="str">
        <f t="shared" si="5"/>
        <v/>
      </c>
      <c r="AG46">
        <f t="shared" si="6"/>
        <v>0</v>
      </c>
      <c r="AH46" t="str">
        <f t="shared" si="7"/>
        <v/>
      </c>
      <c r="AI46" t="str">
        <f t="shared" si="8"/>
        <v/>
      </c>
    </row>
    <row r="47" spans="1:35" x14ac:dyDescent="0.25">
      <c r="A47" s="9"/>
      <c r="B47" s="9"/>
      <c r="C47" s="9"/>
      <c r="D47" s="9"/>
      <c r="E47" s="9"/>
      <c r="F47" s="9"/>
      <c r="G47" s="9"/>
      <c r="H47" s="10"/>
      <c r="I47" s="10"/>
      <c r="J47" s="9"/>
      <c r="K47" s="11"/>
      <c r="L47" s="11"/>
      <c r="M47" s="12" t="str">
        <f t="shared" si="0"/>
        <v/>
      </c>
      <c r="N47" s="13"/>
      <c r="O47" s="13"/>
      <c r="P47" s="13"/>
      <c r="Q47" s="13"/>
      <c r="R47" s="13"/>
      <c r="S47" s="13"/>
      <c r="T47" s="13"/>
      <c r="U47" s="13"/>
      <c r="V47" s="13"/>
      <c r="W47" s="13"/>
      <c r="X47" s="13"/>
      <c r="Y47" s="13"/>
      <c r="Z47" s="9"/>
      <c r="AB47" t="str">
        <f t="shared" si="1"/>
        <v/>
      </c>
      <c r="AC47">
        <f t="shared" si="2"/>
        <v>0</v>
      </c>
      <c r="AD47">
        <f t="shared" si="3"/>
        <v>0</v>
      </c>
      <c r="AE47" t="str">
        <f t="shared" si="4"/>
        <v/>
      </c>
      <c r="AF47" t="str">
        <f t="shared" si="5"/>
        <v/>
      </c>
      <c r="AG47">
        <f t="shared" si="6"/>
        <v>0</v>
      </c>
      <c r="AH47" t="str">
        <f t="shared" si="7"/>
        <v/>
      </c>
      <c r="AI47" t="str">
        <f t="shared" si="8"/>
        <v/>
      </c>
    </row>
    <row r="48" spans="1:35" x14ac:dyDescent="0.25">
      <c r="A48" s="9"/>
      <c r="B48" s="9"/>
      <c r="C48" s="9"/>
      <c r="D48" s="9"/>
      <c r="E48" s="9"/>
      <c r="F48" s="9"/>
      <c r="G48" s="9"/>
      <c r="H48" s="10"/>
      <c r="I48" s="10"/>
      <c r="J48" s="9"/>
      <c r="K48" s="11"/>
      <c r="L48" s="11"/>
      <c r="M48" s="12" t="str">
        <f t="shared" si="0"/>
        <v/>
      </c>
      <c r="N48" s="13"/>
      <c r="O48" s="13"/>
      <c r="P48" s="13"/>
      <c r="Q48" s="13"/>
      <c r="R48" s="13"/>
      <c r="S48" s="13"/>
      <c r="T48" s="13"/>
      <c r="U48" s="13"/>
      <c r="V48" s="13"/>
      <c r="W48" s="13"/>
      <c r="X48" s="13"/>
      <c r="Y48" s="13"/>
      <c r="Z48" s="9"/>
      <c r="AB48" t="str">
        <f t="shared" si="1"/>
        <v/>
      </c>
      <c r="AC48">
        <f t="shared" si="2"/>
        <v>0</v>
      </c>
      <c r="AD48">
        <f t="shared" si="3"/>
        <v>0</v>
      </c>
      <c r="AE48" t="str">
        <f t="shared" si="4"/>
        <v/>
      </c>
      <c r="AF48" t="str">
        <f t="shared" si="5"/>
        <v/>
      </c>
      <c r="AG48">
        <f t="shared" si="6"/>
        <v>0</v>
      </c>
      <c r="AH48" t="str">
        <f t="shared" si="7"/>
        <v/>
      </c>
      <c r="AI48" t="str">
        <f t="shared" si="8"/>
        <v/>
      </c>
    </row>
    <row r="49" spans="1:35" x14ac:dyDescent="0.25">
      <c r="A49" s="9"/>
      <c r="B49" s="9"/>
      <c r="C49" s="9"/>
      <c r="D49" s="9"/>
      <c r="E49" s="9"/>
      <c r="F49" s="9"/>
      <c r="G49" s="9"/>
      <c r="H49" s="10"/>
      <c r="I49" s="10"/>
      <c r="J49" s="9"/>
      <c r="K49" s="11"/>
      <c r="L49" s="11"/>
      <c r="M49" s="12" t="str">
        <f t="shared" si="0"/>
        <v/>
      </c>
      <c r="N49" s="13"/>
      <c r="O49" s="13"/>
      <c r="P49" s="13"/>
      <c r="Q49" s="13"/>
      <c r="R49" s="13"/>
      <c r="S49" s="13"/>
      <c r="T49" s="13"/>
      <c r="U49" s="13"/>
      <c r="V49" s="13"/>
      <c r="W49" s="13"/>
      <c r="X49" s="13"/>
      <c r="Y49" s="13"/>
      <c r="Z49" s="9"/>
      <c r="AB49" t="str">
        <f t="shared" si="1"/>
        <v/>
      </c>
      <c r="AC49">
        <f t="shared" si="2"/>
        <v>0</v>
      </c>
      <c r="AD49">
        <f t="shared" si="3"/>
        <v>0</v>
      </c>
      <c r="AE49" t="str">
        <f t="shared" si="4"/>
        <v/>
      </c>
      <c r="AF49" t="str">
        <f t="shared" si="5"/>
        <v/>
      </c>
      <c r="AG49">
        <f t="shared" si="6"/>
        <v>0</v>
      </c>
      <c r="AH49" t="str">
        <f t="shared" si="7"/>
        <v/>
      </c>
      <c r="AI49" t="str">
        <f t="shared" si="8"/>
        <v/>
      </c>
    </row>
    <row r="50" spans="1:35" x14ac:dyDescent="0.25">
      <c r="A50" s="9"/>
      <c r="B50" s="9"/>
      <c r="C50" s="9"/>
      <c r="D50" s="9"/>
      <c r="E50" s="9"/>
      <c r="F50" s="9"/>
      <c r="G50" s="9"/>
      <c r="H50" s="10"/>
      <c r="I50" s="10"/>
      <c r="J50" s="9"/>
      <c r="K50" s="11"/>
      <c r="L50" s="11"/>
      <c r="M50" s="12" t="str">
        <f t="shared" si="0"/>
        <v/>
      </c>
      <c r="N50" s="13"/>
      <c r="O50" s="13"/>
      <c r="P50" s="13"/>
      <c r="Q50" s="13"/>
      <c r="R50" s="13"/>
      <c r="S50" s="13"/>
      <c r="T50" s="13"/>
      <c r="U50" s="13"/>
      <c r="V50" s="13"/>
      <c r="W50" s="13"/>
      <c r="X50" s="13"/>
      <c r="Y50" s="13"/>
      <c r="Z50" s="9"/>
      <c r="AB50" t="str">
        <f t="shared" si="1"/>
        <v/>
      </c>
      <c r="AC50">
        <f t="shared" si="2"/>
        <v>0</v>
      </c>
      <c r="AD50">
        <f t="shared" si="3"/>
        <v>0</v>
      </c>
      <c r="AE50" t="str">
        <f t="shared" si="4"/>
        <v/>
      </c>
      <c r="AF50" t="str">
        <f t="shared" si="5"/>
        <v/>
      </c>
      <c r="AG50">
        <f t="shared" si="6"/>
        <v>0</v>
      </c>
      <c r="AH50" t="str">
        <f t="shared" si="7"/>
        <v/>
      </c>
      <c r="AI50" t="str">
        <f t="shared" si="8"/>
        <v/>
      </c>
    </row>
    <row r="51" spans="1:35" x14ac:dyDescent="0.25">
      <c r="A51" s="9"/>
      <c r="B51" s="9"/>
      <c r="C51" s="9"/>
      <c r="D51" s="9"/>
      <c r="E51" s="9"/>
      <c r="F51" s="9"/>
      <c r="G51" s="9"/>
      <c r="H51" s="10"/>
      <c r="I51" s="10"/>
      <c r="J51" s="9"/>
      <c r="K51" s="11"/>
      <c r="L51" s="11"/>
      <c r="M51" s="12" t="str">
        <f t="shared" si="0"/>
        <v/>
      </c>
      <c r="N51" s="13"/>
      <c r="O51" s="13"/>
      <c r="P51" s="13"/>
      <c r="Q51" s="13"/>
      <c r="R51" s="13"/>
      <c r="S51" s="13"/>
      <c r="T51" s="13"/>
      <c r="U51" s="13"/>
      <c r="V51" s="13"/>
      <c r="W51" s="13"/>
      <c r="X51" s="13"/>
      <c r="Y51" s="13"/>
      <c r="Z51" s="9"/>
      <c r="AB51" t="str">
        <f t="shared" si="1"/>
        <v/>
      </c>
      <c r="AC51">
        <f t="shared" si="2"/>
        <v>0</v>
      </c>
      <c r="AD51">
        <f t="shared" si="3"/>
        <v>0</v>
      </c>
      <c r="AE51" t="str">
        <f t="shared" si="4"/>
        <v/>
      </c>
      <c r="AF51" t="str">
        <f t="shared" si="5"/>
        <v/>
      </c>
      <c r="AG51">
        <f t="shared" si="6"/>
        <v>0</v>
      </c>
      <c r="AH51" t="str">
        <f t="shared" si="7"/>
        <v/>
      </c>
      <c r="AI51" t="str">
        <f t="shared" si="8"/>
        <v/>
      </c>
    </row>
    <row r="52" spans="1:35" x14ac:dyDescent="0.25">
      <c r="A52" s="9"/>
      <c r="B52" s="9"/>
      <c r="C52" s="9"/>
      <c r="D52" s="9"/>
      <c r="E52" s="9"/>
      <c r="F52" s="9"/>
      <c r="G52" s="9"/>
      <c r="H52" s="10"/>
      <c r="I52" s="10"/>
      <c r="J52" s="9"/>
      <c r="K52" s="11"/>
      <c r="L52" s="11"/>
      <c r="M52" s="12" t="str">
        <f t="shared" si="0"/>
        <v/>
      </c>
      <c r="N52" s="13"/>
      <c r="O52" s="13"/>
      <c r="P52" s="13"/>
      <c r="Q52" s="13"/>
      <c r="R52" s="13"/>
      <c r="S52" s="13"/>
      <c r="T52" s="13"/>
      <c r="U52" s="13"/>
      <c r="V52" s="13"/>
      <c r="W52" s="13"/>
      <c r="X52" s="13"/>
      <c r="Y52" s="13"/>
      <c r="Z52" s="9"/>
      <c r="AB52" t="str">
        <f t="shared" si="1"/>
        <v/>
      </c>
      <c r="AC52">
        <f t="shared" si="2"/>
        <v>0</v>
      </c>
      <c r="AD52">
        <f t="shared" si="3"/>
        <v>0</v>
      </c>
      <c r="AE52" t="str">
        <f t="shared" si="4"/>
        <v/>
      </c>
      <c r="AF52" t="str">
        <f t="shared" si="5"/>
        <v/>
      </c>
      <c r="AG52">
        <f t="shared" si="6"/>
        <v>0</v>
      </c>
      <c r="AH52" t="str">
        <f t="shared" si="7"/>
        <v/>
      </c>
      <c r="AI52" t="str">
        <f t="shared" si="8"/>
        <v/>
      </c>
    </row>
    <row r="53" spans="1:35" x14ac:dyDescent="0.25">
      <c r="A53" s="9"/>
      <c r="B53" s="9"/>
      <c r="C53" s="9"/>
      <c r="D53" s="9"/>
      <c r="E53" s="9"/>
      <c r="F53" s="9"/>
      <c r="G53" s="9"/>
      <c r="H53" s="10"/>
      <c r="I53" s="10"/>
      <c r="J53" s="9"/>
      <c r="K53" s="11"/>
      <c r="L53" s="11"/>
      <c r="M53" s="12" t="str">
        <f t="shared" si="0"/>
        <v/>
      </c>
      <c r="N53" s="13"/>
      <c r="O53" s="13"/>
      <c r="P53" s="13"/>
      <c r="Q53" s="13"/>
      <c r="R53" s="13"/>
      <c r="S53" s="13"/>
      <c r="T53" s="13"/>
      <c r="U53" s="13"/>
      <c r="V53" s="13"/>
      <c r="W53" s="13"/>
      <c r="X53" s="13"/>
      <c r="Y53" s="13"/>
      <c r="Z53" s="9"/>
      <c r="AB53" t="str">
        <f t="shared" si="1"/>
        <v/>
      </c>
      <c r="AC53">
        <f t="shared" si="2"/>
        <v>0</v>
      </c>
      <c r="AD53">
        <f t="shared" si="3"/>
        <v>0</v>
      </c>
      <c r="AE53" t="str">
        <f t="shared" si="4"/>
        <v/>
      </c>
      <c r="AF53" t="str">
        <f t="shared" si="5"/>
        <v/>
      </c>
      <c r="AG53">
        <f t="shared" si="6"/>
        <v>0</v>
      </c>
      <c r="AH53" t="str">
        <f t="shared" si="7"/>
        <v/>
      </c>
      <c r="AI53" t="str">
        <f t="shared" si="8"/>
        <v/>
      </c>
    </row>
    <row r="54" spans="1:35" x14ac:dyDescent="0.25">
      <c r="A54" s="9"/>
      <c r="B54" s="9"/>
      <c r="C54" s="9"/>
      <c r="D54" s="9"/>
      <c r="E54" s="9"/>
      <c r="F54" s="9"/>
      <c r="G54" s="9"/>
      <c r="H54" s="10"/>
      <c r="I54" s="10"/>
      <c r="J54" s="9"/>
      <c r="K54" s="11"/>
      <c r="L54" s="11"/>
      <c r="M54" s="12" t="str">
        <f t="shared" si="0"/>
        <v/>
      </c>
      <c r="N54" s="13"/>
      <c r="O54" s="13"/>
      <c r="P54" s="13"/>
      <c r="Q54" s="13"/>
      <c r="R54" s="13"/>
      <c r="S54" s="13"/>
      <c r="T54" s="13"/>
      <c r="U54" s="13"/>
      <c r="V54" s="13"/>
      <c r="W54" s="13"/>
      <c r="X54" s="13"/>
      <c r="Y54" s="13"/>
      <c r="Z54" s="9"/>
      <c r="AB54" t="str">
        <f t="shared" si="1"/>
        <v/>
      </c>
      <c r="AC54">
        <f t="shared" si="2"/>
        <v>0</v>
      </c>
      <c r="AD54">
        <f t="shared" si="3"/>
        <v>0</v>
      </c>
      <c r="AE54" t="str">
        <f t="shared" si="4"/>
        <v/>
      </c>
      <c r="AF54" t="str">
        <f t="shared" si="5"/>
        <v/>
      </c>
      <c r="AG54">
        <f t="shared" si="6"/>
        <v>0</v>
      </c>
      <c r="AH54" t="str">
        <f t="shared" si="7"/>
        <v/>
      </c>
      <c r="AI54" t="str">
        <f t="shared" si="8"/>
        <v/>
      </c>
    </row>
    <row r="55" spans="1:35" x14ac:dyDescent="0.25">
      <c r="A55" s="9"/>
      <c r="B55" s="9"/>
      <c r="C55" s="9"/>
      <c r="D55" s="9"/>
      <c r="E55" s="9"/>
      <c r="F55" s="9"/>
      <c r="G55" s="9"/>
      <c r="H55" s="10"/>
      <c r="I55" s="10"/>
      <c r="J55" s="9"/>
      <c r="K55" s="11"/>
      <c r="L55" s="11"/>
      <c r="M55" s="12" t="str">
        <f t="shared" si="0"/>
        <v/>
      </c>
      <c r="N55" s="13"/>
      <c r="O55" s="13"/>
      <c r="P55" s="13"/>
      <c r="Q55" s="13"/>
      <c r="R55" s="13"/>
      <c r="S55" s="13"/>
      <c r="T55" s="13"/>
      <c r="U55" s="13"/>
      <c r="V55" s="13"/>
      <c r="W55" s="13"/>
      <c r="X55" s="13"/>
      <c r="Y55" s="13"/>
      <c r="Z55" s="9"/>
      <c r="AB55" t="str">
        <f t="shared" si="1"/>
        <v/>
      </c>
      <c r="AC55">
        <f t="shared" si="2"/>
        <v>0</v>
      </c>
      <c r="AD55">
        <f t="shared" si="3"/>
        <v>0</v>
      </c>
      <c r="AE55" t="str">
        <f t="shared" si="4"/>
        <v/>
      </c>
      <c r="AF55" t="str">
        <f t="shared" si="5"/>
        <v/>
      </c>
      <c r="AG55">
        <f t="shared" si="6"/>
        <v>0</v>
      </c>
      <c r="AH55" t="str">
        <f t="shared" si="7"/>
        <v/>
      </c>
      <c r="AI55" t="str">
        <f t="shared" si="8"/>
        <v/>
      </c>
    </row>
    <row r="56" spans="1:35" x14ac:dyDescent="0.25">
      <c r="A56" s="9"/>
      <c r="B56" s="9"/>
      <c r="C56" s="9"/>
      <c r="D56" s="9"/>
      <c r="E56" s="9"/>
      <c r="F56" s="9"/>
      <c r="G56" s="9"/>
      <c r="H56" s="10"/>
      <c r="I56" s="10"/>
      <c r="J56" s="9"/>
      <c r="K56" s="11"/>
      <c r="L56" s="11"/>
      <c r="M56" s="12" t="str">
        <f t="shared" si="0"/>
        <v/>
      </c>
      <c r="N56" s="13"/>
      <c r="O56" s="13"/>
      <c r="P56" s="13"/>
      <c r="Q56" s="13"/>
      <c r="R56" s="13"/>
      <c r="S56" s="13"/>
      <c r="T56" s="13"/>
      <c r="U56" s="13"/>
      <c r="V56" s="13"/>
      <c r="W56" s="13"/>
      <c r="X56" s="13"/>
      <c r="Y56" s="13"/>
      <c r="Z56" s="9"/>
      <c r="AB56" t="str">
        <f t="shared" si="1"/>
        <v/>
      </c>
      <c r="AC56">
        <f t="shared" si="2"/>
        <v>0</v>
      </c>
      <c r="AD56">
        <f t="shared" si="3"/>
        <v>0</v>
      </c>
      <c r="AE56" t="str">
        <f t="shared" si="4"/>
        <v/>
      </c>
      <c r="AF56" t="str">
        <f t="shared" si="5"/>
        <v/>
      </c>
      <c r="AG56">
        <f t="shared" si="6"/>
        <v>0</v>
      </c>
      <c r="AH56" t="str">
        <f t="shared" si="7"/>
        <v/>
      </c>
      <c r="AI56" t="str">
        <f t="shared" si="8"/>
        <v/>
      </c>
    </row>
    <row r="57" spans="1:35" x14ac:dyDescent="0.25">
      <c r="A57" s="9"/>
      <c r="B57" s="9"/>
      <c r="C57" s="9"/>
      <c r="D57" s="9"/>
      <c r="E57" s="9"/>
      <c r="F57" s="9"/>
      <c r="G57" s="9"/>
      <c r="H57" s="10"/>
      <c r="I57" s="10"/>
      <c r="J57" s="9"/>
      <c r="K57" s="11"/>
      <c r="L57" s="11"/>
      <c r="M57" s="12" t="str">
        <f t="shared" si="0"/>
        <v/>
      </c>
      <c r="N57" s="13"/>
      <c r="O57" s="13"/>
      <c r="P57" s="13"/>
      <c r="Q57" s="13"/>
      <c r="R57" s="13"/>
      <c r="S57" s="13"/>
      <c r="T57" s="13"/>
      <c r="U57" s="13"/>
      <c r="V57" s="13"/>
      <c r="W57" s="13"/>
      <c r="X57" s="13"/>
      <c r="Y57" s="13"/>
      <c r="Z57" s="9"/>
      <c r="AB57" t="str">
        <f t="shared" si="1"/>
        <v/>
      </c>
      <c r="AC57">
        <f t="shared" si="2"/>
        <v>0</v>
      </c>
      <c r="AD57">
        <f t="shared" si="3"/>
        <v>0</v>
      </c>
      <c r="AE57" t="str">
        <f t="shared" si="4"/>
        <v/>
      </c>
      <c r="AF57" t="str">
        <f t="shared" si="5"/>
        <v/>
      </c>
      <c r="AG57">
        <f t="shared" si="6"/>
        <v>0</v>
      </c>
      <c r="AH57" t="str">
        <f t="shared" si="7"/>
        <v/>
      </c>
      <c r="AI57" t="str">
        <f t="shared" si="8"/>
        <v/>
      </c>
    </row>
    <row r="58" spans="1:35" x14ac:dyDescent="0.25">
      <c r="A58" s="9"/>
      <c r="B58" s="9"/>
      <c r="C58" s="9"/>
      <c r="D58" s="9"/>
      <c r="E58" s="9"/>
      <c r="F58" s="9"/>
      <c r="G58" s="9"/>
      <c r="H58" s="10"/>
      <c r="I58" s="10"/>
      <c r="J58" s="9"/>
      <c r="K58" s="11"/>
      <c r="L58" s="11"/>
      <c r="M58" s="12" t="str">
        <f t="shared" si="0"/>
        <v/>
      </c>
      <c r="N58" s="13"/>
      <c r="O58" s="13"/>
      <c r="P58" s="13"/>
      <c r="Q58" s="13"/>
      <c r="R58" s="13"/>
      <c r="S58" s="13"/>
      <c r="T58" s="13"/>
      <c r="U58" s="13"/>
      <c r="V58" s="13"/>
      <c r="W58" s="13"/>
      <c r="X58" s="13"/>
      <c r="Y58" s="13"/>
      <c r="Z58" s="9"/>
      <c r="AB58" t="str">
        <f t="shared" si="1"/>
        <v/>
      </c>
      <c r="AC58">
        <f t="shared" si="2"/>
        <v>0</v>
      </c>
      <c r="AD58">
        <f t="shared" si="3"/>
        <v>0</v>
      </c>
      <c r="AE58" t="str">
        <f t="shared" si="4"/>
        <v/>
      </c>
      <c r="AF58" t="str">
        <f t="shared" si="5"/>
        <v/>
      </c>
      <c r="AG58">
        <f t="shared" si="6"/>
        <v>0</v>
      </c>
      <c r="AH58" t="str">
        <f t="shared" si="7"/>
        <v/>
      </c>
      <c r="AI58" t="str">
        <f t="shared" si="8"/>
        <v/>
      </c>
    </row>
    <row r="59" spans="1:35" x14ac:dyDescent="0.25">
      <c r="A59" s="9"/>
      <c r="B59" s="9"/>
      <c r="C59" s="9"/>
      <c r="D59" s="9"/>
      <c r="E59" s="9"/>
      <c r="F59" s="9"/>
      <c r="G59" s="9"/>
      <c r="H59" s="10"/>
      <c r="I59" s="10"/>
      <c r="J59" s="9"/>
      <c r="K59" s="11"/>
      <c r="L59" s="11"/>
      <c r="M59" s="12" t="str">
        <f t="shared" si="0"/>
        <v/>
      </c>
      <c r="N59" s="13"/>
      <c r="O59" s="13"/>
      <c r="P59" s="13"/>
      <c r="Q59" s="13"/>
      <c r="R59" s="13"/>
      <c r="S59" s="13"/>
      <c r="T59" s="13"/>
      <c r="U59" s="13"/>
      <c r="V59" s="13"/>
      <c r="W59" s="13"/>
      <c r="X59" s="13"/>
      <c r="Y59" s="13"/>
      <c r="Z59" s="9"/>
      <c r="AB59" t="str">
        <f t="shared" si="1"/>
        <v/>
      </c>
      <c r="AC59">
        <f t="shared" si="2"/>
        <v>0</v>
      </c>
      <c r="AD59">
        <f t="shared" si="3"/>
        <v>0</v>
      </c>
      <c r="AE59" t="str">
        <f t="shared" si="4"/>
        <v/>
      </c>
      <c r="AF59" t="str">
        <f t="shared" si="5"/>
        <v/>
      </c>
      <c r="AG59">
        <f t="shared" si="6"/>
        <v>0</v>
      </c>
      <c r="AH59" t="str">
        <f t="shared" si="7"/>
        <v/>
      </c>
      <c r="AI59" t="str">
        <f t="shared" si="8"/>
        <v/>
      </c>
    </row>
    <row r="60" spans="1:35" x14ac:dyDescent="0.25">
      <c r="A60" s="9"/>
      <c r="B60" s="9"/>
      <c r="C60" s="9"/>
      <c r="D60" s="9"/>
      <c r="E60" s="9"/>
      <c r="F60" s="9"/>
      <c r="G60" s="9"/>
      <c r="H60" s="10"/>
      <c r="I60" s="10"/>
      <c r="J60" s="9"/>
      <c r="K60" s="11"/>
      <c r="L60" s="11"/>
      <c r="M60" s="12" t="str">
        <f t="shared" si="0"/>
        <v/>
      </c>
      <c r="N60" s="13"/>
      <c r="O60" s="13"/>
      <c r="P60" s="13"/>
      <c r="Q60" s="13"/>
      <c r="R60" s="13"/>
      <c r="S60" s="13"/>
      <c r="T60" s="13"/>
      <c r="U60" s="13"/>
      <c r="V60" s="13"/>
      <c r="W60" s="13"/>
      <c r="X60" s="13"/>
      <c r="Y60" s="13"/>
      <c r="Z60" s="9"/>
      <c r="AB60" t="str">
        <f t="shared" si="1"/>
        <v/>
      </c>
      <c r="AC60">
        <f t="shared" si="2"/>
        <v>0</v>
      </c>
      <c r="AD60">
        <f t="shared" si="3"/>
        <v>0</v>
      </c>
      <c r="AE60" t="str">
        <f t="shared" si="4"/>
        <v/>
      </c>
      <c r="AF60" t="str">
        <f t="shared" si="5"/>
        <v/>
      </c>
      <c r="AG60">
        <f t="shared" si="6"/>
        <v>0</v>
      </c>
      <c r="AH60" t="str">
        <f t="shared" si="7"/>
        <v/>
      </c>
      <c r="AI60" t="str">
        <f t="shared" si="8"/>
        <v/>
      </c>
    </row>
    <row r="61" spans="1:35" x14ac:dyDescent="0.25">
      <c r="A61" s="9"/>
      <c r="B61" s="9"/>
      <c r="C61" s="9"/>
      <c r="D61" s="9"/>
      <c r="E61" s="9"/>
      <c r="F61" s="9"/>
      <c r="G61" s="9"/>
      <c r="H61" s="10"/>
      <c r="I61" s="10"/>
      <c r="J61" s="9"/>
      <c r="K61" s="11"/>
      <c r="L61" s="11"/>
      <c r="M61" s="12" t="str">
        <f t="shared" si="0"/>
        <v/>
      </c>
      <c r="N61" s="13"/>
      <c r="O61" s="13"/>
      <c r="P61" s="13"/>
      <c r="Q61" s="13"/>
      <c r="R61" s="13"/>
      <c r="S61" s="13"/>
      <c r="T61" s="13"/>
      <c r="U61" s="13"/>
      <c r="V61" s="13"/>
      <c r="W61" s="13"/>
      <c r="X61" s="13"/>
      <c r="Y61" s="13"/>
      <c r="Z61" s="9"/>
      <c r="AB61" t="str">
        <f t="shared" si="1"/>
        <v/>
      </c>
      <c r="AC61">
        <f t="shared" si="2"/>
        <v>0</v>
      </c>
      <c r="AD61">
        <f t="shared" si="3"/>
        <v>0</v>
      </c>
      <c r="AE61" t="str">
        <f t="shared" si="4"/>
        <v/>
      </c>
      <c r="AF61" t="str">
        <f t="shared" si="5"/>
        <v/>
      </c>
      <c r="AG61">
        <f t="shared" si="6"/>
        <v>0</v>
      </c>
      <c r="AH61" t="str">
        <f t="shared" si="7"/>
        <v/>
      </c>
      <c r="AI61" t="str">
        <f t="shared" si="8"/>
        <v/>
      </c>
    </row>
    <row r="62" spans="1:35" x14ac:dyDescent="0.25">
      <c r="A62" s="9"/>
      <c r="B62" s="9"/>
      <c r="C62" s="9"/>
      <c r="D62" s="9"/>
      <c r="E62" s="9"/>
      <c r="F62" s="9"/>
      <c r="G62" s="9"/>
      <c r="H62" s="10"/>
      <c r="I62" s="10"/>
      <c r="J62" s="9"/>
      <c r="K62" s="11"/>
      <c r="L62" s="11"/>
      <c r="M62" s="12" t="str">
        <f t="shared" si="0"/>
        <v/>
      </c>
      <c r="N62" s="13"/>
      <c r="O62" s="13"/>
      <c r="P62" s="13"/>
      <c r="Q62" s="13"/>
      <c r="R62" s="13"/>
      <c r="S62" s="13"/>
      <c r="T62" s="13"/>
      <c r="U62" s="13"/>
      <c r="V62" s="13"/>
      <c r="W62" s="13"/>
      <c r="X62" s="13"/>
      <c r="Y62" s="13"/>
      <c r="Z62" s="9"/>
      <c r="AB62" t="str">
        <f t="shared" si="1"/>
        <v/>
      </c>
      <c r="AC62">
        <f t="shared" si="2"/>
        <v>0</v>
      </c>
      <c r="AD62">
        <f t="shared" si="3"/>
        <v>0</v>
      </c>
      <c r="AE62" t="str">
        <f t="shared" si="4"/>
        <v/>
      </c>
      <c r="AF62" t="str">
        <f t="shared" si="5"/>
        <v/>
      </c>
      <c r="AG62">
        <f t="shared" si="6"/>
        <v>0</v>
      </c>
      <c r="AH62" t="str">
        <f t="shared" si="7"/>
        <v/>
      </c>
      <c r="AI62" t="str">
        <f t="shared" si="8"/>
        <v/>
      </c>
    </row>
    <row r="63" spans="1:35" x14ac:dyDescent="0.25">
      <c r="A63" s="9"/>
      <c r="B63" s="9"/>
      <c r="C63" s="9"/>
      <c r="D63" s="9"/>
      <c r="E63" s="9"/>
      <c r="F63" s="9"/>
      <c r="G63" s="9"/>
      <c r="H63" s="10"/>
      <c r="I63" s="10"/>
      <c r="J63" s="9"/>
      <c r="K63" s="11"/>
      <c r="L63" s="11"/>
      <c r="M63" s="12" t="str">
        <f t="shared" si="0"/>
        <v/>
      </c>
      <c r="N63" s="13"/>
      <c r="O63" s="13"/>
      <c r="P63" s="13"/>
      <c r="Q63" s="13"/>
      <c r="R63" s="13"/>
      <c r="S63" s="13"/>
      <c r="T63" s="13"/>
      <c r="U63" s="13"/>
      <c r="V63" s="13"/>
      <c r="W63" s="13"/>
      <c r="X63" s="13"/>
      <c r="Y63" s="13"/>
      <c r="Z63" s="9"/>
      <c r="AB63" t="str">
        <f t="shared" si="1"/>
        <v/>
      </c>
      <c r="AC63">
        <f t="shared" si="2"/>
        <v>0</v>
      </c>
      <c r="AD63">
        <f t="shared" si="3"/>
        <v>0</v>
      </c>
      <c r="AE63" t="str">
        <f t="shared" si="4"/>
        <v/>
      </c>
      <c r="AF63" t="str">
        <f t="shared" si="5"/>
        <v/>
      </c>
      <c r="AG63">
        <f t="shared" si="6"/>
        <v>0</v>
      </c>
      <c r="AH63" t="str">
        <f t="shared" si="7"/>
        <v/>
      </c>
      <c r="AI63" t="str">
        <f t="shared" si="8"/>
        <v/>
      </c>
    </row>
    <row r="64" spans="1:35" x14ac:dyDescent="0.25">
      <c r="A64" s="9"/>
      <c r="B64" s="9"/>
      <c r="C64" s="9"/>
      <c r="D64" s="9"/>
      <c r="E64" s="9"/>
      <c r="F64" s="9"/>
      <c r="G64" s="9"/>
      <c r="H64" s="10"/>
      <c r="I64" s="10"/>
      <c r="J64" s="9"/>
      <c r="K64" s="11"/>
      <c r="L64" s="11"/>
      <c r="M64" s="12" t="str">
        <f t="shared" si="0"/>
        <v/>
      </c>
      <c r="N64" s="13"/>
      <c r="O64" s="13"/>
      <c r="P64" s="13"/>
      <c r="Q64" s="13"/>
      <c r="R64" s="13"/>
      <c r="S64" s="13"/>
      <c r="T64" s="13"/>
      <c r="U64" s="13"/>
      <c r="V64" s="13"/>
      <c r="W64" s="13"/>
      <c r="X64" s="13"/>
      <c r="Y64" s="13"/>
      <c r="Z64" s="9"/>
      <c r="AB64" t="str">
        <f t="shared" si="1"/>
        <v/>
      </c>
      <c r="AC64">
        <f t="shared" si="2"/>
        <v>0</v>
      </c>
      <c r="AD64">
        <f t="shared" si="3"/>
        <v>0</v>
      </c>
      <c r="AE64" t="str">
        <f t="shared" si="4"/>
        <v/>
      </c>
      <c r="AF64" t="str">
        <f t="shared" si="5"/>
        <v/>
      </c>
      <c r="AG64">
        <f t="shared" si="6"/>
        <v>0</v>
      </c>
      <c r="AH64" t="str">
        <f t="shared" si="7"/>
        <v/>
      </c>
      <c r="AI64" t="str">
        <f t="shared" si="8"/>
        <v/>
      </c>
    </row>
    <row r="65" spans="1:35" x14ac:dyDescent="0.25">
      <c r="A65" s="9"/>
      <c r="B65" s="9"/>
      <c r="C65" s="9"/>
      <c r="D65" s="9"/>
      <c r="E65" s="9"/>
      <c r="F65" s="9"/>
      <c r="G65" s="9"/>
      <c r="H65" s="10"/>
      <c r="I65" s="10"/>
      <c r="J65" s="9"/>
      <c r="K65" s="11"/>
      <c r="L65" s="11"/>
      <c r="M65" s="12" t="str">
        <f t="shared" si="0"/>
        <v/>
      </c>
      <c r="N65" s="13"/>
      <c r="O65" s="13"/>
      <c r="P65" s="13"/>
      <c r="Q65" s="13"/>
      <c r="R65" s="13"/>
      <c r="S65" s="13"/>
      <c r="T65" s="13"/>
      <c r="U65" s="13"/>
      <c r="V65" s="13"/>
      <c r="W65" s="13"/>
      <c r="X65" s="13"/>
      <c r="Y65" s="13"/>
      <c r="Z65" s="9"/>
      <c r="AB65" t="str">
        <f t="shared" si="1"/>
        <v/>
      </c>
      <c r="AC65">
        <f t="shared" si="2"/>
        <v>0</v>
      </c>
      <c r="AD65">
        <f t="shared" si="3"/>
        <v>0</v>
      </c>
      <c r="AE65" t="str">
        <f t="shared" si="4"/>
        <v/>
      </c>
      <c r="AF65" t="str">
        <f t="shared" si="5"/>
        <v/>
      </c>
      <c r="AG65">
        <f t="shared" si="6"/>
        <v>0</v>
      </c>
      <c r="AH65" t="str">
        <f t="shared" si="7"/>
        <v/>
      </c>
      <c r="AI65" t="str">
        <f t="shared" si="8"/>
        <v/>
      </c>
    </row>
    <row r="66" spans="1:35" x14ac:dyDescent="0.25">
      <c r="A66" s="9"/>
      <c r="B66" s="9"/>
      <c r="C66" s="9"/>
      <c r="D66" s="9"/>
      <c r="E66" s="9"/>
      <c r="F66" s="9"/>
      <c r="G66" s="9"/>
      <c r="H66" s="10"/>
      <c r="I66" s="10"/>
      <c r="J66" s="9"/>
      <c r="K66" s="11"/>
      <c r="L66" s="11"/>
      <c r="M66" s="12" t="str">
        <f t="shared" si="0"/>
        <v/>
      </c>
      <c r="N66" s="13"/>
      <c r="O66" s="13"/>
      <c r="P66" s="13"/>
      <c r="Q66" s="13"/>
      <c r="R66" s="13"/>
      <c r="S66" s="13"/>
      <c r="T66" s="13"/>
      <c r="U66" s="13"/>
      <c r="V66" s="13"/>
      <c r="W66" s="13"/>
      <c r="X66" s="13"/>
      <c r="Y66" s="13"/>
      <c r="Z66" s="9"/>
      <c r="AB66" t="str">
        <f t="shared" si="1"/>
        <v/>
      </c>
      <c r="AC66">
        <f t="shared" si="2"/>
        <v>0</v>
      </c>
      <c r="AD66">
        <f t="shared" si="3"/>
        <v>0</v>
      </c>
      <c r="AE66" t="str">
        <f t="shared" si="4"/>
        <v/>
      </c>
      <c r="AF66" t="str">
        <f t="shared" si="5"/>
        <v/>
      </c>
      <c r="AG66">
        <f t="shared" si="6"/>
        <v>0</v>
      </c>
      <c r="AH66" t="str">
        <f t="shared" si="7"/>
        <v/>
      </c>
      <c r="AI66" t="str">
        <f t="shared" si="8"/>
        <v/>
      </c>
    </row>
    <row r="67" spans="1:35" x14ac:dyDescent="0.25">
      <c r="A67" s="9"/>
      <c r="B67" s="9"/>
      <c r="C67" s="9"/>
      <c r="D67" s="9"/>
      <c r="E67" s="9"/>
      <c r="F67" s="9"/>
      <c r="G67" s="9"/>
      <c r="H67" s="10"/>
      <c r="I67" s="10"/>
      <c r="J67" s="9"/>
      <c r="K67" s="11"/>
      <c r="L67" s="11"/>
      <c r="M67" s="12" t="str">
        <f t="shared" si="0"/>
        <v/>
      </c>
      <c r="N67" s="13"/>
      <c r="O67" s="13"/>
      <c r="P67" s="13"/>
      <c r="Q67" s="13"/>
      <c r="R67" s="13"/>
      <c r="S67" s="13"/>
      <c r="T67" s="13"/>
      <c r="U67" s="13"/>
      <c r="V67" s="13"/>
      <c r="W67" s="13"/>
      <c r="X67" s="13"/>
      <c r="Y67" s="13"/>
      <c r="Z67" s="9"/>
      <c r="AB67" t="str">
        <f t="shared" si="1"/>
        <v/>
      </c>
      <c r="AC67">
        <f t="shared" si="2"/>
        <v>0</v>
      </c>
      <c r="AD67">
        <f t="shared" si="3"/>
        <v>0</v>
      </c>
      <c r="AE67" t="str">
        <f t="shared" si="4"/>
        <v/>
      </c>
      <c r="AF67" t="str">
        <f t="shared" si="5"/>
        <v/>
      </c>
      <c r="AG67">
        <f t="shared" si="6"/>
        <v>0</v>
      </c>
      <c r="AH67" t="str">
        <f t="shared" si="7"/>
        <v/>
      </c>
      <c r="AI67" t="str">
        <f t="shared" si="8"/>
        <v/>
      </c>
    </row>
    <row r="68" spans="1:35" x14ac:dyDescent="0.25">
      <c r="A68" s="9"/>
      <c r="B68" s="9"/>
      <c r="C68" s="9"/>
      <c r="D68" s="9"/>
      <c r="E68" s="9"/>
      <c r="F68" s="9"/>
      <c r="G68" s="9"/>
      <c r="H68" s="10"/>
      <c r="I68" s="10"/>
      <c r="J68" s="9"/>
      <c r="K68" s="11"/>
      <c r="L68" s="11"/>
      <c r="M68" s="12" t="str">
        <f t="shared" si="0"/>
        <v/>
      </c>
      <c r="N68" s="13"/>
      <c r="O68" s="13"/>
      <c r="P68" s="13"/>
      <c r="Q68" s="13"/>
      <c r="R68" s="13"/>
      <c r="S68" s="13"/>
      <c r="T68" s="13"/>
      <c r="U68" s="13"/>
      <c r="V68" s="13"/>
      <c r="W68" s="13"/>
      <c r="X68" s="13"/>
      <c r="Y68" s="13"/>
      <c r="Z68" s="9"/>
      <c r="AB68" t="str">
        <f t="shared" si="1"/>
        <v/>
      </c>
      <c r="AC68">
        <f t="shared" si="2"/>
        <v>0</v>
      </c>
      <c r="AD68">
        <f t="shared" si="3"/>
        <v>0</v>
      </c>
      <c r="AE68" t="str">
        <f t="shared" si="4"/>
        <v/>
      </c>
      <c r="AF68" t="str">
        <f t="shared" si="5"/>
        <v/>
      </c>
      <c r="AG68">
        <f t="shared" si="6"/>
        <v>0</v>
      </c>
      <c r="AH68" t="str">
        <f t="shared" si="7"/>
        <v/>
      </c>
      <c r="AI68" t="str">
        <f t="shared" si="8"/>
        <v/>
      </c>
    </row>
    <row r="69" spans="1:35" x14ac:dyDescent="0.25">
      <c r="A69" s="9"/>
      <c r="B69" s="9"/>
      <c r="C69" s="9"/>
      <c r="D69" s="9"/>
      <c r="E69" s="9"/>
      <c r="F69" s="9"/>
      <c r="G69" s="9"/>
      <c r="H69" s="10"/>
      <c r="I69" s="10"/>
      <c r="J69" s="9"/>
      <c r="K69" s="11"/>
      <c r="L69" s="11"/>
      <c r="M69" s="12" t="str">
        <f t="shared" si="0"/>
        <v/>
      </c>
      <c r="N69" s="13"/>
      <c r="O69" s="13"/>
      <c r="P69" s="13"/>
      <c r="Q69" s="13"/>
      <c r="R69" s="13"/>
      <c r="S69" s="13"/>
      <c r="T69" s="13"/>
      <c r="U69" s="13"/>
      <c r="V69" s="13"/>
      <c r="W69" s="13"/>
      <c r="X69" s="13"/>
      <c r="Y69" s="13"/>
      <c r="Z69" s="9"/>
      <c r="AB69" t="str">
        <f t="shared" si="1"/>
        <v/>
      </c>
      <c r="AC69">
        <f t="shared" si="2"/>
        <v>0</v>
      </c>
      <c r="AD69">
        <f t="shared" si="3"/>
        <v>0</v>
      </c>
      <c r="AE69" t="str">
        <f t="shared" si="4"/>
        <v/>
      </c>
      <c r="AF69" t="str">
        <f t="shared" si="5"/>
        <v/>
      </c>
      <c r="AG69">
        <f t="shared" si="6"/>
        <v>0</v>
      </c>
      <c r="AH69" t="str">
        <f t="shared" si="7"/>
        <v/>
      </c>
      <c r="AI69" t="str">
        <f t="shared" si="8"/>
        <v/>
      </c>
    </row>
    <row r="70" spans="1:35" x14ac:dyDescent="0.25">
      <c r="A70" s="9"/>
      <c r="B70" s="9"/>
      <c r="C70" s="9"/>
      <c r="D70" s="9"/>
      <c r="E70" s="9"/>
      <c r="F70" s="9"/>
      <c r="G70" s="9"/>
      <c r="H70" s="10"/>
      <c r="I70" s="10"/>
      <c r="J70" s="9"/>
      <c r="K70" s="11"/>
      <c r="L70" s="11"/>
      <c r="M70" s="12" t="str">
        <f t="shared" si="0"/>
        <v/>
      </c>
      <c r="N70" s="13"/>
      <c r="O70" s="13"/>
      <c r="P70" s="13"/>
      <c r="Q70" s="13"/>
      <c r="R70" s="13"/>
      <c r="S70" s="13"/>
      <c r="T70" s="13"/>
      <c r="U70" s="13"/>
      <c r="V70" s="13"/>
      <c r="W70" s="13"/>
      <c r="X70" s="13"/>
      <c r="Y70" s="13"/>
      <c r="Z70" s="9"/>
      <c r="AB70" t="str">
        <f t="shared" si="1"/>
        <v/>
      </c>
      <c r="AC70">
        <f t="shared" si="2"/>
        <v>0</v>
      </c>
      <c r="AD70">
        <f t="shared" si="3"/>
        <v>0</v>
      </c>
      <c r="AE70" t="str">
        <f t="shared" si="4"/>
        <v/>
      </c>
      <c r="AF70" t="str">
        <f t="shared" si="5"/>
        <v/>
      </c>
      <c r="AG70">
        <f t="shared" si="6"/>
        <v>0</v>
      </c>
      <c r="AH70" t="str">
        <f t="shared" si="7"/>
        <v/>
      </c>
      <c r="AI70" t="str">
        <f t="shared" si="8"/>
        <v/>
      </c>
    </row>
    <row r="71" spans="1:35" x14ac:dyDescent="0.25">
      <c r="A71" s="9"/>
      <c r="B71" s="9"/>
      <c r="C71" s="9"/>
      <c r="D71" s="9"/>
      <c r="E71" s="9"/>
      <c r="F71" s="9"/>
      <c r="G71" s="9"/>
      <c r="H71" s="10"/>
      <c r="I71" s="10"/>
      <c r="J71" s="9"/>
      <c r="K71" s="11"/>
      <c r="L71" s="11"/>
      <c r="M71" s="12" t="str">
        <f t="shared" si="0"/>
        <v/>
      </c>
      <c r="N71" s="13"/>
      <c r="O71" s="13"/>
      <c r="P71" s="13"/>
      <c r="Q71" s="13"/>
      <c r="R71" s="13"/>
      <c r="S71" s="13"/>
      <c r="T71" s="13"/>
      <c r="U71" s="13"/>
      <c r="V71" s="13"/>
      <c r="W71" s="13"/>
      <c r="X71" s="13"/>
      <c r="Y71" s="13"/>
      <c r="Z71" s="9"/>
      <c r="AB71" t="str">
        <f t="shared" si="1"/>
        <v/>
      </c>
      <c r="AC71">
        <f t="shared" si="2"/>
        <v>0</v>
      </c>
      <c r="AD71">
        <f t="shared" si="3"/>
        <v>0</v>
      </c>
      <c r="AE71" t="str">
        <f t="shared" si="4"/>
        <v/>
      </c>
      <c r="AF71" t="str">
        <f t="shared" si="5"/>
        <v/>
      </c>
      <c r="AG71">
        <f t="shared" si="6"/>
        <v>0</v>
      </c>
      <c r="AH71" t="str">
        <f t="shared" si="7"/>
        <v/>
      </c>
      <c r="AI71" t="str">
        <f t="shared" si="8"/>
        <v/>
      </c>
    </row>
    <row r="72" spans="1:35" x14ac:dyDescent="0.25">
      <c r="A72" s="9"/>
      <c r="B72" s="9"/>
      <c r="C72" s="9"/>
      <c r="D72" s="9"/>
      <c r="E72" s="9"/>
      <c r="F72" s="9"/>
      <c r="G72" s="9"/>
      <c r="H72" s="10"/>
      <c r="I72" s="10"/>
      <c r="J72" s="9"/>
      <c r="K72" s="11"/>
      <c r="L72" s="11"/>
      <c r="M72" s="12" t="str">
        <f t="shared" si="0"/>
        <v/>
      </c>
      <c r="N72" s="13"/>
      <c r="O72" s="13"/>
      <c r="P72" s="13"/>
      <c r="Q72" s="13"/>
      <c r="R72" s="13"/>
      <c r="S72" s="13"/>
      <c r="T72" s="13"/>
      <c r="U72" s="13"/>
      <c r="V72" s="13"/>
      <c r="W72" s="13"/>
      <c r="X72" s="13"/>
      <c r="Y72" s="13"/>
      <c r="Z72" s="9"/>
      <c r="AB72" t="str">
        <f t="shared" si="1"/>
        <v/>
      </c>
      <c r="AC72">
        <f t="shared" si="2"/>
        <v>0</v>
      </c>
      <c r="AD72">
        <f t="shared" si="3"/>
        <v>0</v>
      </c>
      <c r="AE72" t="str">
        <f t="shared" si="4"/>
        <v/>
      </c>
      <c r="AF72" t="str">
        <f t="shared" si="5"/>
        <v/>
      </c>
      <c r="AG72">
        <f t="shared" si="6"/>
        <v>0</v>
      </c>
      <c r="AH72" t="str">
        <f t="shared" si="7"/>
        <v/>
      </c>
      <c r="AI72" t="str">
        <f t="shared" si="8"/>
        <v/>
      </c>
    </row>
    <row r="73" spans="1:35" x14ac:dyDescent="0.25">
      <c r="A73" s="9"/>
      <c r="B73" s="9"/>
      <c r="C73" s="9"/>
      <c r="D73" s="9"/>
      <c r="E73" s="9"/>
      <c r="F73" s="9"/>
      <c r="G73" s="9"/>
      <c r="H73" s="10"/>
      <c r="I73" s="10"/>
      <c r="J73" s="9"/>
      <c r="K73" s="11"/>
      <c r="L73" s="11"/>
      <c r="M73" s="12" t="str">
        <f t="shared" si="0"/>
        <v/>
      </c>
      <c r="N73" s="13"/>
      <c r="O73" s="13"/>
      <c r="P73" s="13"/>
      <c r="Q73" s="13"/>
      <c r="R73" s="13"/>
      <c r="S73" s="13"/>
      <c r="T73" s="13"/>
      <c r="U73" s="13"/>
      <c r="V73" s="13"/>
      <c r="W73" s="13"/>
      <c r="X73" s="13"/>
      <c r="Y73" s="13"/>
      <c r="Z73" s="9"/>
      <c r="AB73" t="str">
        <f t="shared" si="1"/>
        <v/>
      </c>
      <c r="AC73">
        <f t="shared" si="2"/>
        <v>0</v>
      </c>
      <c r="AD73">
        <f t="shared" si="3"/>
        <v>0</v>
      </c>
      <c r="AE73" t="str">
        <f t="shared" si="4"/>
        <v/>
      </c>
      <c r="AF73" t="str">
        <f t="shared" si="5"/>
        <v/>
      </c>
      <c r="AG73">
        <f t="shared" si="6"/>
        <v>0</v>
      </c>
      <c r="AH73" t="str">
        <f t="shared" si="7"/>
        <v/>
      </c>
      <c r="AI73" t="str">
        <f t="shared" si="8"/>
        <v/>
      </c>
    </row>
    <row r="74" spans="1:35" x14ac:dyDescent="0.25">
      <c r="A74" s="9"/>
      <c r="B74" s="9"/>
      <c r="C74" s="9"/>
      <c r="D74" s="9"/>
      <c r="E74" s="9"/>
      <c r="F74" s="9"/>
      <c r="G74" s="9"/>
      <c r="H74" s="10"/>
      <c r="I74" s="10"/>
      <c r="J74" s="9"/>
      <c r="K74" s="11"/>
      <c r="L74" s="11"/>
      <c r="M74" s="12" t="str">
        <f t="shared" si="0"/>
        <v/>
      </c>
      <c r="N74" s="13"/>
      <c r="O74" s="13"/>
      <c r="P74" s="13"/>
      <c r="Q74" s="13"/>
      <c r="R74" s="13"/>
      <c r="S74" s="13"/>
      <c r="T74" s="13"/>
      <c r="U74" s="13"/>
      <c r="V74" s="13"/>
      <c r="W74" s="13"/>
      <c r="X74" s="13"/>
      <c r="Y74" s="13"/>
      <c r="Z74" s="9"/>
      <c r="AB74" t="str">
        <f t="shared" si="1"/>
        <v/>
      </c>
      <c r="AC74">
        <f t="shared" si="2"/>
        <v>0</v>
      </c>
      <c r="AD74">
        <f t="shared" si="3"/>
        <v>0</v>
      </c>
      <c r="AE74" t="str">
        <f t="shared" si="4"/>
        <v/>
      </c>
      <c r="AF74" t="str">
        <f t="shared" si="5"/>
        <v/>
      </c>
      <c r="AG74">
        <f t="shared" si="6"/>
        <v>0</v>
      </c>
      <c r="AH74" t="str">
        <f t="shared" si="7"/>
        <v/>
      </c>
      <c r="AI74" t="str">
        <f t="shared" si="8"/>
        <v/>
      </c>
    </row>
    <row r="75" spans="1:35" x14ac:dyDescent="0.25">
      <c r="A75" s="9"/>
      <c r="B75" s="9"/>
      <c r="C75" s="9"/>
      <c r="D75" s="9"/>
      <c r="E75" s="9"/>
      <c r="F75" s="9"/>
      <c r="G75" s="9"/>
      <c r="H75" s="10"/>
      <c r="I75" s="10"/>
      <c r="J75" s="9"/>
      <c r="K75" s="11"/>
      <c r="L75" s="11"/>
      <c r="M75" s="12" t="str">
        <f t="shared" ref="M75:M138" si="9">IF(AB75="","",IF(AE75&lt;&gt;"","⚠ "&amp;AE75,"✔ "&amp;AI75&amp;IF(AG75&gt;0," · ⚠ "&amp;AG75&amp;IF(AG75=1," fecha cae"," fechas caen")&amp;" en festivo"&amp;IF(OR(AB75="Un día",AB75="Fechas específicas"),": revise la fecha",": se pasará al día hábil siguiente"),"")))</f>
        <v/>
      </c>
      <c r="N75" s="13"/>
      <c r="O75" s="13"/>
      <c r="P75" s="13"/>
      <c r="Q75" s="13"/>
      <c r="R75" s="13"/>
      <c r="S75" s="13"/>
      <c r="T75" s="13"/>
      <c r="U75" s="13"/>
      <c r="V75" s="13"/>
      <c r="W75" s="13"/>
      <c r="X75" s="13"/>
      <c r="Y75" s="13"/>
      <c r="Z75" s="9"/>
      <c r="AB75" t="str">
        <f t="shared" ref="AB75:AB138" si="10">IF(COUNTA(A75:L75,N75:Y75)=0,"",IF(OR(J75="En fechas específicas",AND(OR(J75="",J75="No"),K75="",COUNT(N75:Y75)&gt;0)),"Fechas específicas",IF(OR(J75="",J75="No"),IF(OR(L75="",L75=K75),"Un día","Varios días"),J75)))</f>
        <v/>
      </c>
      <c r="AC75">
        <f t="shared" ref="AC75:AC138" si="11">IF(AB75="Cada mes",1,IF(AB75="Cada 2 meses",2,IF(AB75="Cada 3 meses",3,IF(AB75="Cada 6 meses",6,0))))</f>
        <v>0</v>
      </c>
      <c r="AD75">
        <f t="shared" ref="AD75:AD138" si="12">IF(ISNUMBER(K75),INT((DAY(K75)-1)/7)+1,0)</f>
        <v>0</v>
      </c>
      <c r="AE75" t="str">
        <f t="shared" ref="AE75:AE138" si="13">IF(AB75="","",IF(A75="","Falta el nombre de la actividad",IF(B75="","Falta la categoría",IF(COUNTIF(Lista_Categoria,B75)=0,"Elija la categoría de la lista",IF(AND(F75="",_xlfn.SINGLE(SedePrincipal)=""),"Falta la sede: elíjala aquí o en «Datos del área»",IF(AND(F75&lt;&gt;"",COUNTIF(Lista_Sede,F75)=0),"Elija la sede de la lista",IF(AND(E75="",_xlfn.SINGLE(CalendarioPrincipal)=""),"Falta el calendario (Académico o Administrativo): elíjalo aquí o en «Datos del área»",IF(AND(E75&lt;&gt;"",COUNTIF(Lista_Calendario,E75)=0),"Elija el calendario de la lista",IF(G75="","Falta el lugar",IF(OR(AND(H75&lt;&gt;"",NOT(ISNUMBER(H75))),AND(I75&lt;&gt;"",NOT(ISNUMBER(I75)))),"Hora no válida: use hh:mm (ej. 14:30)",IF(AND(ISNUMBER(H75),ISNUMBER(I75),I75&lt;H75),"La hora fin es antes de la hora inicio",IF(AND(J75&lt;&gt;"",COUNTIF(Lista_Repite,J75)=0),"Elija una opción de la lista «¿Se repite?»",IF(AB75="Fechas específicas",IF(COUNTA(N75:Y75)&lt;&gt;COUNT(N75:Y75),"Alguna fecha de Fecha 1 a Fecha 12 no es válida: use dd/mm/aaaa",IF(COUNT(N75:Y75)=0,"Escriba las fechas en Fecha 1, Fecha 2…","")),IF(COUNTA(N75:Y75)&gt;0,"Escribió fechas en Fecha 1…12: elija «En fechas específicas» o bórrelas",IF(K75="","Falta la fecha en «Desde»",IF(NOT(ISNUMBER(K75)),"La fecha «Desde» no es válida: use dd/mm/aaaa",IF(AND(L75&lt;&gt;"",NOT(ISNUMBER(L75))),"La fecha «Hasta» no es válida: use dd/mm/aaaa",IF(AND(ISNUMBER(L75),L75&lt;K75),"«Hasta» es antes de «Desde»",IF(AND(AB75&lt;&gt;"Un día",AB75&lt;&gt;"Varios días",L75=""),"Falta «Hasta»: la última fecha en que se repite",IF(AND(ISNUMBER(L75),L75-K75&gt;730),"El periodo no puede pasar de 2 años",""))))))))))))))))))))</f>
        <v/>
      </c>
      <c r="AF75" t="str">
        <f t="shared" ref="AF75:AF138" si="14">IF(OR(AB75="",AE75&lt;&gt;""),"",IF(AB75="Fechas específicas",COUNT(N75:Y75),IF(OR(AB75="Un día",AB75="Varios días"),1,SUMPRODUCT((Dias&lt;=L75-K75)*((AB75="Cada semana")*(MOD(Dias,7)=0)+(AB75="Cada 15 días")*(MOD(Dias,14)=0)+(AC75&gt;0)*(WEEKDAY(K75+Dias)=WEEKDAY(K75))*((AD75=5)*(MONTH(K75+Dias+7)&lt;&gt;MONTH(K75+Dias))+(AD75&lt;5)*(INT((DAY(K75+Dias)-1)/7)+1=AD75))*(MOD((YEAR(K75+Dias)-YEAR(K75))*12+MONTH(K75+Dias)-MONTH(K75),MAX(AC75,1))=0))))))</f>
        <v/>
      </c>
      <c r="AG75">
        <f t="shared" ref="AG75:AG138" si="15">IF(AF75="",0,IF(AB75="Fechas específicas",SUMPRODUCT(COUNTIF(Festivos,N75:Y75)),IF(AB75="Un día",COUNTIF(Festivos,K75),IF(AB75="Varios días",0,SUMPRODUCT((Dias&lt;=L75-K75)*((AB75="Cada semana")*(MOD(Dias,7)=0)+(AB75="Cada 15 días")*(MOD(Dias,14)=0)+(AC75&gt;0)*(WEEKDAY(K75+Dias)=WEEKDAY(K75))*((AD75=5)*(MONTH(K75+Dias+7)&lt;&gt;MONTH(K75+Dias))+(AD75&lt;5)*(INT((DAY(K75+Dias)-1)/7)+1=AD75))*(MOD((YEAR(K75+Dias)-YEAR(K75))*12+MONTH(K75+Dias)-MONTH(K75),MAX(AC75,1))=0))*COUNTIF(Festivos,K75+Dias))))))</f>
        <v>0</v>
      </c>
      <c r="AH75" t="str">
        <f t="shared" ref="AH75:AH138" si="16">IF(AB75&lt;&gt;"Fechas específicas","",IF(ISNUMBER(N75),DAY(N75)&amp;" "&amp;CHOOSE(MONTH(N75),"ene","feb","mar","abr","may","jun","jul","ago","sep","oct","nov","dic")&amp;", ","")&amp;IF(ISNUMBER(O75),DAY(O75)&amp;" "&amp;CHOOSE(MONTH(O75),"ene","feb","mar","abr","may","jun","jul","ago","sep","oct","nov","dic")&amp;", ","")&amp;IF(ISNUMBER(P75),DAY(P75)&amp;" "&amp;CHOOSE(MONTH(P75),"ene","feb","mar","abr","may","jun","jul","ago","sep","oct","nov","dic")&amp;", ","")&amp;IF(ISNUMBER(Q75),DAY(Q75)&amp;" "&amp;CHOOSE(MONTH(Q75),"ene","feb","mar","abr","may","jun","jul","ago","sep","oct","nov","dic")&amp;", ","")&amp;IF(ISNUMBER(R75),DAY(R75)&amp;" "&amp;CHOOSE(MONTH(R75),"ene","feb","mar","abr","may","jun","jul","ago","sep","oct","nov","dic")&amp;", ","")&amp;IF(ISNUMBER(S75),DAY(S75)&amp;" "&amp;CHOOSE(MONTH(S75),"ene","feb","mar","abr","may","jun","jul","ago","sep","oct","nov","dic")&amp;", ","")&amp;IF(ISNUMBER(T75),DAY(T75)&amp;" "&amp;CHOOSE(MONTH(T75),"ene","feb","mar","abr","may","jun","jul","ago","sep","oct","nov","dic")&amp;", ","")&amp;IF(ISNUMBER(U75),DAY(U75)&amp;" "&amp;CHOOSE(MONTH(U75),"ene","feb","mar","abr","may","jun","jul","ago","sep","oct","nov","dic")&amp;", ","")&amp;IF(ISNUMBER(V75),DAY(V75)&amp;" "&amp;CHOOSE(MONTH(V75),"ene","feb","mar","abr","may","jun","jul","ago","sep","oct","nov","dic")&amp;", ","")&amp;IF(ISNUMBER(W75),DAY(W75)&amp;" "&amp;CHOOSE(MONTH(W75),"ene","feb","mar","abr","may","jun","jul","ago","sep","oct","nov","dic")&amp;", ","")&amp;IF(ISNUMBER(X75),DAY(X75)&amp;" "&amp;CHOOSE(MONTH(X75),"ene","feb","mar","abr","may","jun","jul","ago","sep","oct","nov","dic")&amp;", ","")&amp;IF(ISNUMBER(Y75),DAY(Y75)&amp;" "&amp;CHOOSE(MONTH(Y75),"ene","feb","mar","abr","may","jun","jul","ago","sep","oct","nov","dic")&amp;", ",""))</f>
        <v/>
      </c>
      <c r="AI75" t="str">
        <f t="shared" ref="AI75:AI138" si="17">IF(OR(AB75="",AE75&lt;&gt;""),"",IF(AB75="Un día","Un día: "&amp;CHOOSE(WEEKDAY(K75,2),"lunes","martes","miércoles","jueves","viernes","sábado","domingo")&amp;" "&amp;TEXT(DAY(K75),"00")&amp;"/"&amp;TEXT(MONTH(K75),"00")&amp;"/"&amp;YEAR(K75),IF(AB75="Varios días","Del "&amp;TEXT(DAY(K75),"00")&amp;"/"&amp;TEXT(MONTH(K75),"00")&amp;"/"&amp;YEAR(K75)&amp;" al "&amp;TEXT(DAY(L75),"00")&amp;"/"&amp;TEXT(MONTH(L75),"00")&amp;"/"&amp;YEAR(L75)&amp;" ("&amp;(L75-K75+1)&amp;" días)",IF(AB75="Fechas específicas",AF75&amp;IF(AF75=1," fecha: "," fechas: ")&amp;LEFT(AH75,LEN(AH75)-2),IF(AB75="Cada semana","Todos los "&amp;CHOOSE(WEEKDAY(K75,2),"lunes","martes","miércoles","jueves","viernes","sábados","domingos"),IF(AB75="Cada 15 días","Cada 15 días ("&amp;CHOOSE(WEEKDAY(K75,2),"lunes","martes","miércoles","jueves","viernes","sábados","domingos")&amp;" de por medio)",CHOOSE(AD75,"Primer","Segundo","Tercer","Cuarto","Último")&amp;" "&amp;CHOOSE(WEEKDAY(K75,2),"lunes","martes","miércoles","jueves","viernes","sábado","domingo")&amp;IF(AC75=1," de cada mes"," cada "&amp;AC75&amp;" meses")))&amp;", del "&amp;TEXT(DAY(K75),"00")&amp;"/"&amp;TEXT(MONTH(K75),"00")&amp;"/"&amp;YEAR(K75)&amp;" al "&amp;TEXT(DAY(L75),"00")&amp;"/"&amp;TEXT(MONTH(L75),"00")&amp;"/"&amp;YEAR(L75)&amp;" · "&amp;AF75&amp;IF(AF75=1," fecha"," fechas")))))</f>
        <v/>
      </c>
    </row>
    <row r="76" spans="1:35" x14ac:dyDescent="0.25">
      <c r="A76" s="9"/>
      <c r="B76" s="9"/>
      <c r="C76" s="9"/>
      <c r="D76" s="9"/>
      <c r="E76" s="9"/>
      <c r="F76" s="9"/>
      <c r="G76" s="9"/>
      <c r="H76" s="10"/>
      <c r="I76" s="10"/>
      <c r="J76" s="9"/>
      <c r="K76" s="11"/>
      <c r="L76" s="11"/>
      <c r="M76" s="12" t="str">
        <f t="shared" si="9"/>
        <v/>
      </c>
      <c r="N76" s="13"/>
      <c r="O76" s="13"/>
      <c r="P76" s="13"/>
      <c r="Q76" s="13"/>
      <c r="R76" s="13"/>
      <c r="S76" s="13"/>
      <c r="T76" s="13"/>
      <c r="U76" s="13"/>
      <c r="V76" s="13"/>
      <c r="W76" s="13"/>
      <c r="X76" s="13"/>
      <c r="Y76" s="13"/>
      <c r="Z76" s="9"/>
      <c r="AB76" t="str">
        <f t="shared" si="10"/>
        <v/>
      </c>
      <c r="AC76">
        <f t="shared" si="11"/>
        <v>0</v>
      </c>
      <c r="AD76">
        <f t="shared" si="12"/>
        <v>0</v>
      </c>
      <c r="AE76" t="str">
        <f t="shared" si="13"/>
        <v/>
      </c>
      <c r="AF76" t="str">
        <f t="shared" si="14"/>
        <v/>
      </c>
      <c r="AG76">
        <f t="shared" si="15"/>
        <v>0</v>
      </c>
      <c r="AH76" t="str">
        <f t="shared" si="16"/>
        <v/>
      </c>
      <c r="AI76" t="str">
        <f t="shared" si="17"/>
        <v/>
      </c>
    </row>
    <row r="77" spans="1:35" x14ac:dyDescent="0.25">
      <c r="A77" s="9"/>
      <c r="B77" s="9"/>
      <c r="C77" s="9"/>
      <c r="D77" s="9"/>
      <c r="E77" s="9"/>
      <c r="F77" s="9"/>
      <c r="G77" s="9"/>
      <c r="H77" s="10"/>
      <c r="I77" s="10"/>
      <c r="J77" s="9"/>
      <c r="K77" s="11"/>
      <c r="L77" s="11"/>
      <c r="M77" s="12" t="str">
        <f t="shared" si="9"/>
        <v/>
      </c>
      <c r="N77" s="13"/>
      <c r="O77" s="13"/>
      <c r="P77" s="13"/>
      <c r="Q77" s="13"/>
      <c r="R77" s="13"/>
      <c r="S77" s="13"/>
      <c r="T77" s="13"/>
      <c r="U77" s="13"/>
      <c r="V77" s="13"/>
      <c r="W77" s="13"/>
      <c r="X77" s="13"/>
      <c r="Y77" s="13"/>
      <c r="Z77" s="9"/>
      <c r="AB77" t="str">
        <f t="shared" si="10"/>
        <v/>
      </c>
      <c r="AC77">
        <f t="shared" si="11"/>
        <v>0</v>
      </c>
      <c r="AD77">
        <f t="shared" si="12"/>
        <v>0</v>
      </c>
      <c r="AE77" t="str">
        <f t="shared" si="13"/>
        <v/>
      </c>
      <c r="AF77" t="str">
        <f t="shared" si="14"/>
        <v/>
      </c>
      <c r="AG77">
        <f t="shared" si="15"/>
        <v>0</v>
      </c>
      <c r="AH77" t="str">
        <f t="shared" si="16"/>
        <v/>
      </c>
      <c r="AI77" t="str">
        <f t="shared" si="17"/>
        <v/>
      </c>
    </row>
    <row r="78" spans="1:35" x14ac:dyDescent="0.25">
      <c r="A78" s="9"/>
      <c r="B78" s="9"/>
      <c r="C78" s="9"/>
      <c r="D78" s="9"/>
      <c r="E78" s="9"/>
      <c r="F78" s="9"/>
      <c r="G78" s="9"/>
      <c r="H78" s="10"/>
      <c r="I78" s="10"/>
      <c r="J78" s="9"/>
      <c r="K78" s="11"/>
      <c r="L78" s="11"/>
      <c r="M78" s="12" t="str">
        <f t="shared" si="9"/>
        <v/>
      </c>
      <c r="N78" s="13"/>
      <c r="O78" s="13"/>
      <c r="P78" s="13"/>
      <c r="Q78" s="13"/>
      <c r="R78" s="13"/>
      <c r="S78" s="13"/>
      <c r="T78" s="13"/>
      <c r="U78" s="13"/>
      <c r="V78" s="13"/>
      <c r="W78" s="13"/>
      <c r="X78" s="13"/>
      <c r="Y78" s="13"/>
      <c r="Z78" s="9"/>
      <c r="AB78" t="str">
        <f t="shared" si="10"/>
        <v/>
      </c>
      <c r="AC78">
        <f t="shared" si="11"/>
        <v>0</v>
      </c>
      <c r="AD78">
        <f t="shared" si="12"/>
        <v>0</v>
      </c>
      <c r="AE78" t="str">
        <f t="shared" si="13"/>
        <v/>
      </c>
      <c r="AF78" t="str">
        <f t="shared" si="14"/>
        <v/>
      </c>
      <c r="AG78">
        <f t="shared" si="15"/>
        <v>0</v>
      </c>
      <c r="AH78" t="str">
        <f t="shared" si="16"/>
        <v/>
      </c>
      <c r="AI78" t="str">
        <f t="shared" si="17"/>
        <v/>
      </c>
    </row>
    <row r="79" spans="1:35" x14ac:dyDescent="0.25">
      <c r="A79" s="9"/>
      <c r="B79" s="9"/>
      <c r="C79" s="9"/>
      <c r="D79" s="9"/>
      <c r="E79" s="9"/>
      <c r="F79" s="9"/>
      <c r="G79" s="9"/>
      <c r="H79" s="10"/>
      <c r="I79" s="10"/>
      <c r="J79" s="9"/>
      <c r="K79" s="11"/>
      <c r="L79" s="11"/>
      <c r="M79" s="12" t="str">
        <f t="shared" si="9"/>
        <v/>
      </c>
      <c r="N79" s="13"/>
      <c r="O79" s="13"/>
      <c r="P79" s="13"/>
      <c r="Q79" s="13"/>
      <c r="R79" s="13"/>
      <c r="S79" s="13"/>
      <c r="T79" s="13"/>
      <c r="U79" s="13"/>
      <c r="V79" s="13"/>
      <c r="W79" s="13"/>
      <c r="X79" s="13"/>
      <c r="Y79" s="13"/>
      <c r="Z79" s="9"/>
      <c r="AB79" t="str">
        <f t="shared" si="10"/>
        <v/>
      </c>
      <c r="AC79">
        <f t="shared" si="11"/>
        <v>0</v>
      </c>
      <c r="AD79">
        <f t="shared" si="12"/>
        <v>0</v>
      </c>
      <c r="AE79" t="str">
        <f t="shared" si="13"/>
        <v/>
      </c>
      <c r="AF79" t="str">
        <f t="shared" si="14"/>
        <v/>
      </c>
      <c r="AG79">
        <f t="shared" si="15"/>
        <v>0</v>
      </c>
      <c r="AH79" t="str">
        <f t="shared" si="16"/>
        <v/>
      </c>
      <c r="AI79" t="str">
        <f t="shared" si="17"/>
        <v/>
      </c>
    </row>
    <row r="80" spans="1:35" x14ac:dyDescent="0.25">
      <c r="A80" s="9"/>
      <c r="B80" s="9"/>
      <c r="C80" s="9"/>
      <c r="D80" s="9"/>
      <c r="E80" s="9"/>
      <c r="F80" s="9"/>
      <c r="G80" s="9"/>
      <c r="H80" s="10"/>
      <c r="I80" s="10"/>
      <c r="J80" s="9"/>
      <c r="K80" s="11"/>
      <c r="L80" s="11"/>
      <c r="M80" s="12" t="str">
        <f t="shared" si="9"/>
        <v/>
      </c>
      <c r="N80" s="13"/>
      <c r="O80" s="13"/>
      <c r="P80" s="13"/>
      <c r="Q80" s="13"/>
      <c r="R80" s="13"/>
      <c r="S80" s="13"/>
      <c r="T80" s="13"/>
      <c r="U80" s="13"/>
      <c r="V80" s="13"/>
      <c r="W80" s="13"/>
      <c r="X80" s="13"/>
      <c r="Y80" s="13"/>
      <c r="Z80" s="9"/>
      <c r="AB80" t="str">
        <f t="shared" si="10"/>
        <v/>
      </c>
      <c r="AC80">
        <f t="shared" si="11"/>
        <v>0</v>
      </c>
      <c r="AD80">
        <f t="shared" si="12"/>
        <v>0</v>
      </c>
      <c r="AE80" t="str">
        <f t="shared" si="13"/>
        <v/>
      </c>
      <c r="AF80" t="str">
        <f t="shared" si="14"/>
        <v/>
      </c>
      <c r="AG80">
        <f t="shared" si="15"/>
        <v>0</v>
      </c>
      <c r="AH80" t="str">
        <f t="shared" si="16"/>
        <v/>
      </c>
      <c r="AI80" t="str">
        <f t="shared" si="17"/>
        <v/>
      </c>
    </row>
    <row r="81" spans="1:35" x14ac:dyDescent="0.25">
      <c r="A81" s="9"/>
      <c r="B81" s="9"/>
      <c r="C81" s="9"/>
      <c r="D81" s="9"/>
      <c r="E81" s="9"/>
      <c r="F81" s="9"/>
      <c r="G81" s="9"/>
      <c r="H81" s="10"/>
      <c r="I81" s="10"/>
      <c r="J81" s="9"/>
      <c r="K81" s="11"/>
      <c r="L81" s="11"/>
      <c r="M81" s="12" t="str">
        <f t="shared" si="9"/>
        <v/>
      </c>
      <c r="N81" s="13"/>
      <c r="O81" s="13"/>
      <c r="P81" s="13"/>
      <c r="Q81" s="13"/>
      <c r="R81" s="13"/>
      <c r="S81" s="13"/>
      <c r="T81" s="13"/>
      <c r="U81" s="13"/>
      <c r="V81" s="13"/>
      <c r="W81" s="13"/>
      <c r="X81" s="13"/>
      <c r="Y81" s="13"/>
      <c r="Z81" s="9"/>
      <c r="AB81" t="str">
        <f t="shared" si="10"/>
        <v/>
      </c>
      <c r="AC81">
        <f t="shared" si="11"/>
        <v>0</v>
      </c>
      <c r="AD81">
        <f t="shared" si="12"/>
        <v>0</v>
      </c>
      <c r="AE81" t="str">
        <f t="shared" si="13"/>
        <v/>
      </c>
      <c r="AF81" t="str">
        <f t="shared" si="14"/>
        <v/>
      </c>
      <c r="AG81">
        <f t="shared" si="15"/>
        <v>0</v>
      </c>
      <c r="AH81" t="str">
        <f t="shared" si="16"/>
        <v/>
      </c>
      <c r="AI81" t="str">
        <f t="shared" si="17"/>
        <v/>
      </c>
    </row>
    <row r="82" spans="1:35" x14ac:dyDescent="0.25">
      <c r="A82" s="9"/>
      <c r="B82" s="9"/>
      <c r="C82" s="9"/>
      <c r="D82" s="9"/>
      <c r="E82" s="9"/>
      <c r="F82" s="9"/>
      <c r="G82" s="9"/>
      <c r="H82" s="10"/>
      <c r="I82" s="10"/>
      <c r="J82" s="9"/>
      <c r="K82" s="11"/>
      <c r="L82" s="11"/>
      <c r="M82" s="12" t="str">
        <f t="shared" si="9"/>
        <v/>
      </c>
      <c r="N82" s="13"/>
      <c r="O82" s="13"/>
      <c r="P82" s="13"/>
      <c r="Q82" s="13"/>
      <c r="R82" s="13"/>
      <c r="S82" s="13"/>
      <c r="T82" s="13"/>
      <c r="U82" s="13"/>
      <c r="V82" s="13"/>
      <c r="W82" s="13"/>
      <c r="X82" s="13"/>
      <c r="Y82" s="13"/>
      <c r="Z82" s="9"/>
      <c r="AB82" t="str">
        <f t="shared" si="10"/>
        <v/>
      </c>
      <c r="AC82">
        <f t="shared" si="11"/>
        <v>0</v>
      </c>
      <c r="AD82">
        <f t="shared" si="12"/>
        <v>0</v>
      </c>
      <c r="AE82" t="str">
        <f t="shared" si="13"/>
        <v/>
      </c>
      <c r="AF82" t="str">
        <f t="shared" si="14"/>
        <v/>
      </c>
      <c r="AG82">
        <f t="shared" si="15"/>
        <v>0</v>
      </c>
      <c r="AH82" t="str">
        <f t="shared" si="16"/>
        <v/>
      </c>
      <c r="AI82" t="str">
        <f t="shared" si="17"/>
        <v/>
      </c>
    </row>
    <row r="83" spans="1:35" x14ac:dyDescent="0.25">
      <c r="A83" s="9"/>
      <c r="B83" s="9"/>
      <c r="C83" s="9"/>
      <c r="D83" s="9"/>
      <c r="E83" s="9"/>
      <c r="F83" s="9"/>
      <c r="G83" s="9"/>
      <c r="H83" s="10"/>
      <c r="I83" s="10"/>
      <c r="J83" s="9"/>
      <c r="K83" s="11"/>
      <c r="L83" s="11"/>
      <c r="M83" s="12" t="str">
        <f t="shared" si="9"/>
        <v/>
      </c>
      <c r="N83" s="13"/>
      <c r="O83" s="13"/>
      <c r="P83" s="13"/>
      <c r="Q83" s="13"/>
      <c r="R83" s="13"/>
      <c r="S83" s="13"/>
      <c r="T83" s="13"/>
      <c r="U83" s="13"/>
      <c r="V83" s="13"/>
      <c r="W83" s="13"/>
      <c r="X83" s="13"/>
      <c r="Y83" s="13"/>
      <c r="Z83" s="9"/>
      <c r="AB83" t="str">
        <f t="shared" si="10"/>
        <v/>
      </c>
      <c r="AC83">
        <f t="shared" si="11"/>
        <v>0</v>
      </c>
      <c r="AD83">
        <f t="shared" si="12"/>
        <v>0</v>
      </c>
      <c r="AE83" t="str">
        <f t="shared" si="13"/>
        <v/>
      </c>
      <c r="AF83" t="str">
        <f t="shared" si="14"/>
        <v/>
      </c>
      <c r="AG83">
        <f t="shared" si="15"/>
        <v>0</v>
      </c>
      <c r="AH83" t="str">
        <f t="shared" si="16"/>
        <v/>
      </c>
      <c r="AI83" t="str">
        <f t="shared" si="17"/>
        <v/>
      </c>
    </row>
    <row r="84" spans="1:35" x14ac:dyDescent="0.25">
      <c r="A84" s="9"/>
      <c r="B84" s="9"/>
      <c r="C84" s="9"/>
      <c r="D84" s="9"/>
      <c r="E84" s="9"/>
      <c r="F84" s="9"/>
      <c r="G84" s="9"/>
      <c r="H84" s="10"/>
      <c r="I84" s="10"/>
      <c r="J84" s="9"/>
      <c r="K84" s="11"/>
      <c r="L84" s="11"/>
      <c r="M84" s="12" t="str">
        <f t="shared" si="9"/>
        <v/>
      </c>
      <c r="N84" s="13"/>
      <c r="O84" s="13"/>
      <c r="P84" s="13"/>
      <c r="Q84" s="13"/>
      <c r="R84" s="13"/>
      <c r="S84" s="13"/>
      <c r="T84" s="13"/>
      <c r="U84" s="13"/>
      <c r="V84" s="13"/>
      <c r="W84" s="13"/>
      <c r="X84" s="13"/>
      <c r="Y84" s="13"/>
      <c r="Z84" s="9"/>
      <c r="AB84" t="str">
        <f t="shared" si="10"/>
        <v/>
      </c>
      <c r="AC84">
        <f t="shared" si="11"/>
        <v>0</v>
      </c>
      <c r="AD84">
        <f t="shared" si="12"/>
        <v>0</v>
      </c>
      <c r="AE84" t="str">
        <f t="shared" si="13"/>
        <v/>
      </c>
      <c r="AF84" t="str">
        <f t="shared" si="14"/>
        <v/>
      </c>
      <c r="AG84">
        <f t="shared" si="15"/>
        <v>0</v>
      </c>
      <c r="AH84" t="str">
        <f t="shared" si="16"/>
        <v/>
      </c>
      <c r="AI84" t="str">
        <f t="shared" si="17"/>
        <v/>
      </c>
    </row>
    <row r="85" spans="1:35" x14ac:dyDescent="0.25">
      <c r="A85" s="9"/>
      <c r="B85" s="9"/>
      <c r="C85" s="9"/>
      <c r="D85" s="9"/>
      <c r="E85" s="9"/>
      <c r="F85" s="9"/>
      <c r="G85" s="9"/>
      <c r="H85" s="10"/>
      <c r="I85" s="10"/>
      <c r="J85" s="9"/>
      <c r="K85" s="11"/>
      <c r="L85" s="11"/>
      <c r="M85" s="12" t="str">
        <f t="shared" si="9"/>
        <v/>
      </c>
      <c r="N85" s="13"/>
      <c r="O85" s="13"/>
      <c r="P85" s="13"/>
      <c r="Q85" s="13"/>
      <c r="R85" s="13"/>
      <c r="S85" s="13"/>
      <c r="T85" s="13"/>
      <c r="U85" s="13"/>
      <c r="V85" s="13"/>
      <c r="W85" s="13"/>
      <c r="X85" s="13"/>
      <c r="Y85" s="13"/>
      <c r="Z85" s="9"/>
      <c r="AB85" t="str">
        <f t="shared" si="10"/>
        <v/>
      </c>
      <c r="AC85">
        <f t="shared" si="11"/>
        <v>0</v>
      </c>
      <c r="AD85">
        <f t="shared" si="12"/>
        <v>0</v>
      </c>
      <c r="AE85" t="str">
        <f t="shared" si="13"/>
        <v/>
      </c>
      <c r="AF85" t="str">
        <f t="shared" si="14"/>
        <v/>
      </c>
      <c r="AG85">
        <f t="shared" si="15"/>
        <v>0</v>
      </c>
      <c r="AH85" t="str">
        <f t="shared" si="16"/>
        <v/>
      </c>
      <c r="AI85" t="str">
        <f t="shared" si="17"/>
        <v/>
      </c>
    </row>
    <row r="86" spans="1:35" x14ac:dyDescent="0.25">
      <c r="A86" s="9"/>
      <c r="B86" s="9"/>
      <c r="C86" s="9"/>
      <c r="D86" s="9"/>
      <c r="E86" s="9"/>
      <c r="F86" s="9"/>
      <c r="G86" s="9"/>
      <c r="H86" s="10"/>
      <c r="I86" s="10"/>
      <c r="J86" s="9"/>
      <c r="K86" s="11"/>
      <c r="L86" s="11"/>
      <c r="M86" s="12" t="str">
        <f t="shared" si="9"/>
        <v/>
      </c>
      <c r="N86" s="13"/>
      <c r="O86" s="13"/>
      <c r="P86" s="13"/>
      <c r="Q86" s="13"/>
      <c r="R86" s="13"/>
      <c r="S86" s="13"/>
      <c r="T86" s="13"/>
      <c r="U86" s="13"/>
      <c r="V86" s="13"/>
      <c r="W86" s="13"/>
      <c r="X86" s="13"/>
      <c r="Y86" s="13"/>
      <c r="Z86" s="9"/>
      <c r="AB86" t="str">
        <f t="shared" si="10"/>
        <v/>
      </c>
      <c r="AC86">
        <f t="shared" si="11"/>
        <v>0</v>
      </c>
      <c r="AD86">
        <f t="shared" si="12"/>
        <v>0</v>
      </c>
      <c r="AE86" t="str">
        <f t="shared" si="13"/>
        <v/>
      </c>
      <c r="AF86" t="str">
        <f t="shared" si="14"/>
        <v/>
      </c>
      <c r="AG86">
        <f t="shared" si="15"/>
        <v>0</v>
      </c>
      <c r="AH86" t="str">
        <f t="shared" si="16"/>
        <v/>
      </c>
      <c r="AI86" t="str">
        <f t="shared" si="17"/>
        <v/>
      </c>
    </row>
    <row r="87" spans="1:35" x14ac:dyDescent="0.25">
      <c r="A87" s="9"/>
      <c r="B87" s="9"/>
      <c r="C87" s="9"/>
      <c r="D87" s="9"/>
      <c r="E87" s="9"/>
      <c r="F87" s="9"/>
      <c r="G87" s="9"/>
      <c r="H87" s="10"/>
      <c r="I87" s="10"/>
      <c r="J87" s="9"/>
      <c r="K87" s="11"/>
      <c r="L87" s="11"/>
      <c r="M87" s="12" t="str">
        <f t="shared" si="9"/>
        <v/>
      </c>
      <c r="N87" s="13"/>
      <c r="O87" s="13"/>
      <c r="P87" s="13"/>
      <c r="Q87" s="13"/>
      <c r="R87" s="13"/>
      <c r="S87" s="13"/>
      <c r="T87" s="13"/>
      <c r="U87" s="13"/>
      <c r="V87" s="13"/>
      <c r="W87" s="13"/>
      <c r="X87" s="13"/>
      <c r="Y87" s="13"/>
      <c r="Z87" s="9"/>
      <c r="AB87" t="str">
        <f t="shared" si="10"/>
        <v/>
      </c>
      <c r="AC87">
        <f t="shared" si="11"/>
        <v>0</v>
      </c>
      <c r="AD87">
        <f t="shared" si="12"/>
        <v>0</v>
      </c>
      <c r="AE87" t="str">
        <f t="shared" si="13"/>
        <v/>
      </c>
      <c r="AF87" t="str">
        <f t="shared" si="14"/>
        <v/>
      </c>
      <c r="AG87">
        <f t="shared" si="15"/>
        <v>0</v>
      </c>
      <c r="AH87" t="str">
        <f t="shared" si="16"/>
        <v/>
      </c>
      <c r="AI87" t="str">
        <f t="shared" si="17"/>
        <v/>
      </c>
    </row>
    <row r="88" spans="1:35" x14ac:dyDescent="0.25">
      <c r="A88" s="9"/>
      <c r="B88" s="9"/>
      <c r="C88" s="9"/>
      <c r="D88" s="9"/>
      <c r="E88" s="9"/>
      <c r="F88" s="9"/>
      <c r="G88" s="9"/>
      <c r="H88" s="10"/>
      <c r="I88" s="10"/>
      <c r="J88" s="9"/>
      <c r="K88" s="11"/>
      <c r="L88" s="11"/>
      <c r="M88" s="12" t="str">
        <f t="shared" si="9"/>
        <v/>
      </c>
      <c r="N88" s="13"/>
      <c r="O88" s="13"/>
      <c r="P88" s="13"/>
      <c r="Q88" s="13"/>
      <c r="R88" s="13"/>
      <c r="S88" s="13"/>
      <c r="T88" s="13"/>
      <c r="U88" s="13"/>
      <c r="V88" s="13"/>
      <c r="W88" s="13"/>
      <c r="X88" s="13"/>
      <c r="Y88" s="13"/>
      <c r="Z88" s="9"/>
      <c r="AB88" t="str">
        <f t="shared" si="10"/>
        <v/>
      </c>
      <c r="AC88">
        <f t="shared" si="11"/>
        <v>0</v>
      </c>
      <c r="AD88">
        <f t="shared" si="12"/>
        <v>0</v>
      </c>
      <c r="AE88" t="str">
        <f t="shared" si="13"/>
        <v/>
      </c>
      <c r="AF88" t="str">
        <f t="shared" si="14"/>
        <v/>
      </c>
      <c r="AG88">
        <f t="shared" si="15"/>
        <v>0</v>
      </c>
      <c r="AH88" t="str">
        <f t="shared" si="16"/>
        <v/>
      </c>
      <c r="AI88" t="str">
        <f t="shared" si="17"/>
        <v/>
      </c>
    </row>
    <row r="89" spans="1:35" x14ac:dyDescent="0.25">
      <c r="A89" s="9"/>
      <c r="B89" s="9"/>
      <c r="C89" s="9"/>
      <c r="D89" s="9"/>
      <c r="E89" s="9"/>
      <c r="F89" s="9"/>
      <c r="G89" s="9"/>
      <c r="H89" s="10"/>
      <c r="I89" s="10"/>
      <c r="J89" s="9"/>
      <c r="K89" s="11"/>
      <c r="L89" s="11"/>
      <c r="M89" s="12" t="str">
        <f t="shared" si="9"/>
        <v/>
      </c>
      <c r="N89" s="13"/>
      <c r="O89" s="13"/>
      <c r="P89" s="13"/>
      <c r="Q89" s="13"/>
      <c r="R89" s="13"/>
      <c r="S89" s="13"/>
      <c r="T89" s="13"/>
      <c r="U89" s="13"/>
      <c r="V89" s="13"/>
      <c r="W89" s="13"/>
      <c r="X89" s="13"/>
      <c r="Y89" s="13"/>
      <c r="Z89" s="9"/>
      <c r="AB89" t="str">
        <f t="shared" si="10"/>
        <v/>
      </c>
      <c r="AC89">
        <f t="shared" si="11"/>
        <v>0</v>
      </c>
      <c r="AD89">
        <f t="shared" si="12"/>
        <v>0</v>
      </c>
      <c r="AE89" t="str">
        <f t="shared" si="13"/>
        <v/>
      </c>
      <c r="AF89" t="str">
        <f t="shared" si="14"/>
        <v/>
      </c>
      <c r="AG89">
        <f t="shared" si="15"/>
        <v>0</v>
      </c>
      <c r="AH89" t="str">
        <f t="shared" si="16"/>
        <v/>
      </c>
      <c r="AI89" t="str">
        <f t="shared" si="17"/>
        <v/>
      </c>
    </row>
    <row r="90" spans="1:35" x14ac:dyDescent="0.25">
      <c r="A90" s="9"/>
      <c r="B90" s="9"/>
      <c r="C90" s="9"/>
      <c r="D90" s="9"/>
      <c r="E90" s="9"/>
      <c r="F90" s="9"/>
      <c r="G90" s="9"/>
      <c r="H90" s="10"/>
      <c r="I90" s="10"/>
      <c r="J90" s="9"/>
      <c r="K90" s="11"/>
      <c r="L90" s="11"/>
      <c r="M90" s="12" t="str">
        <f t="shared" si="9"/>
        <v/>
      </c>
      <c r="N90" s="13"/>
      <c r="O90" s="13"/>
      <c r="P90" s="13"/>
      <c r="Q90" s="13"/>
      <c r="R90" s="13"/>
      <c r="S90" s="13"/>
      <c r="T90" s="13"/>
      <c r="U90" s="13"/>
      <c r="V90" s="13"/>
      <c r="W90" s="13"/>
      <c r="X90" s="13"/>
      <c r="Y90" s="13"/>
      <c r="Z90" s="9"/>
      <c r="AB90" t="str">
        <f t="shared" si="10"/>
        <v/>
      </c>
      <c r="AC90">
        <f t="shared" si="11"/>
        <v>0</v>
      </c>
      <c r="AD90">
        <f t="shared" si="12"/>
        <v>0</v>
      </c>
      <c r="AE90" t="str">
        <f t="shared" si="13"/>
        <v/>
      </c>
      <c r="AF90" t="str">
        <f t="shared" si="14"/>
        <v/>
      </c>
      <c r="AG90">
        <f t="shared" si="15"/>
        <v>0</v>
      </c>
      <c r="AH90" t="str">
        <f t="shared" si="16"/>
        <v/>
      </c>
      <c r="AI90" t="str">
        <f t="shared" si="17"/>
        <v/>
      </c>
    </row>
    <row r="91" spans="1:35" x14ac:dyDescent="0.25">
      <c r="A91" s="9"/>
      <c r="B91" s="9"/>
      <c r="C91" s="9"/>
      <c r="D91" s="9"/>
      <c r="E91" s="9"/>
      <c r="F91" s="9"/>
      <c r="G91" s="9"/>
      <c r="H91" s="10"/>
      <c r="I91" s="10"/>
      <c r="J91" s="9"/>
      <c r="K91" s="11"/>
      <c r="L91" s="11"/>
      <c r="M91" s="12" t="str">
        <f t="shared" si="9"/>
        <v/>
      </c>
      <c r="N91" s="13"/>
      <c r="O91" s="13"/>
      <c r="P91" s="13"/>
      <c r="Q91" s="13"/>
      <c r="R91" s="13"/>
      <c r="S91" s="13"/>
      <c r="T91" s="13"/>
      <c r="U91" s="13"/>
      <c r="V91" s="13"/>
      <c r="W91" s="13"/>
      <c r="X91" s="13"/>
      <c r="Y91" s="13"/>
      <c r="Z91" s="9"/>
      <c r="AB91" t="str">
        <f t="shared" si="10"/>
        <v/>
      </c>
      <c r="AC91">
        <f t="shared" si="11"/>
        <v>0</v>
      </c>
      <c r="AD91">
        <f t="shared" si="12"/>
        <v>0</v>
      </c>
      <c r="AE91" t="str">
        <f t="shared" si="13"/>
        <v/>
      </c>
      <c r="AF91" t="str">
        <f t="shared" si="14"/>
        <v/>
      </c>
      <c r="AG91">
        <f t="shared" si="15"/>
        <v>0</v>
      </c>
      <c r="AH91" t="str">
        <f t="shared" si="16"/>
        <v/>
      </c>
      <c r="AI91" t="str">
        <f t="shared" si="17"/>
        <v/>
      </c>
    </row>
    <row r="92" spans="1:35" x14ac:dyDescent="0.25">
      <c r="A92" s="9"/>
      <c r="B92" s="9"/>
      <c r="C92" s="9"/>
      <c r="D92" s="9"/>
      <c r="E92" s="9"/>
      <c r="F92" s="9"/>
      <c r="G92" s="9"/>
      <c r="H92" s="10"/>
      <c r="I92" s="10"/>
      <c r="J92" s="9"/>
      <c r="K92" s="11"/>
      <c r="L92" s="11"/>
      <c r="M92" s="12" t="str">
        <f t="shared" si="9"/>
        <v/>
      </c>
      <c r="N92" s="13"/>
      <c r="O92" s="13"/>
      <c r="P92" s="13"/>
      <c r="Q92" s="13"/>
      <c r="R92" s="13"/>
      <c r="S92" s="13"/>
      <c r="T92" s="13"/>
      <c r="U92" s="13"/>
      <c r="V92" s="13"/>
      <c r="W92" s="13"/>
      <c r="X92" s="13"/>
      <c r="Y92" s="13"/>
      <c r="Z92" s="9"/>
      <c r="AB92" t="str">
        <f t="shared" si="10"/>
        <v/>
      </c>
      <c r="AC92">
        <f t="shared" si="11"/>
        <v>0</v>
      </c>
      <c r="AD92">
        <f t="shared" si="12"/>
        <v>0</v>
      </c>
      <c r="AE92" t="str">
        <f t="shared" si="13"/>
        <v/>
      </c>
      <c r="AF92" t="str">
        <f t="shared" si="14"/>
        <v/>
      </c>
      <c r="AG92">
        <f t="shared" si="15"/>
        <v>0</v>
      </c>
      <c r="AH92" t="str">
        <f t="shared" si="16"/>
        <v/>
      </c>
      <c r="AI92" t="str">
        <f t="shared" si="17"/>
        <v/>
      </c>
    </row>
    <row r="93" spans="1:35" x14ac:dyDescent="0.25">
      <c r="A93" s="9"/>
      <c r="B93" s="9"/>
      <c r="C93" s="9"/>
      <c r="D93" s="9"/>
      <c r="E93" s="9"/>
      <c r="F93" s="9"/>
      <c r="G93" s="9"/>
      <c r="H93" s="10"/>
      <c r="I93" s="10"/>
      <c r="J93" s="9"/>
      <c r="K93" s="11"/>
      <c r="L93" s="11"/>
      <c r="M93" s="12" t="str">
        <f t="shared" si="9"/>
        <v/>
      </c>
      <c r="N93" s="13"/>
      <c r="O93" s="13"/>
      <c r="P93" s="13"/>
      <c r="Q93" s="13"/>
      <c r="R93" s="13"/>
      <c r="S93" s="13"/>
      <c r="T93" s="13"/>
      <c r="U93" s="13"/>
      <c r="V93" s="13"/>
      <c r="W93" s="13"/>
      <c r="X93" s="13"/>
      <c r="Y93" s="13"/>
      <c r="Z93" s="9"/>
      <c r="AB93" t="str">
        <f t="shared" si="10"/>
        <v/>
      </c>
      <c r="AC93">
        <f t="shared" si="11"/>
        <v>0</v>
      </c>
      <c r="AD93">
        <f t="shared" si="12"/>
        <v>0</v>
      </c>
      <c r="AE93" t="str">
        <f t="shared" si="13"/>
        <v/>
      </c>
      <c r="AF93" t="str">
        <f t="shared" si="14"/>
        <v/>
      </c>
      <c r="AG93">
        <f t="shared" si="15"/>
        <v>0</v>
      </c>
      <c r="AH93" t="str">
        <f t="shared" si="16"/>
        <v/>
      </c>
      <c r="AI93" t="str">
        <f t="shared" si="17"/>
        <v/>
      </c>
    </row>
    <row r="94" spans="1:35" x14ac:dyDescent="0.25">
      <c r="A94" s="9"/>
      <c r="B94" s="9"/>
      <c r="C94" s="9"/>
      <c r="D94" s="9"/>
      <c r="E94" s="9"/>
      <c r="F94" s="9"/>
      <c r="G94" s="9"/>
      <c r="H94" s="10"/>
      <c r="I94" s="10"/>
      <c r="J94" s="9"/>
      <c r="K94" s="11"/>
      <c r="L94" s="11"/>
      <c r="M94" s="12" t="str">
        <f t="shared" si="9"/>
        <v/>
      </c>
      <c r="N94" s="13"/>
      <c r="O94" s="13"/>
      <c r="P94" s="13"/>
      <c r="Q94" s="13"/>
      <c r="R94" s="13"/>
      <c r="S94" s="13"/>
      <c r="T94" s="13"/>
      <c r="U94" s="13"/>
      <c r="V94" s="13"/>
      <c r="W94" s="13"/>
      <c r="X94" s="13"/>
      <c r="Y94" s="13"/>
      <c r="Z94" s="9"/>
      <c r="AB94" t="str">
        <f t="shared" si="10"/>
        <v/>
      </c>
      <c r="AC94">
        <f t="shared" si="11"/>
        <v>0</v>
      </c>
      <c r="AD94">
        <f t="shared" si="12"/>
        <v>0</v>
      </c>
      <c r="AE94" t="str">
        <f t="shared" si="13"/>
        <v/>
      </c>
      <c r="AF94" t="str">
        <f t="shared" si="14"/>
        <v/>
      </c>
      <c r="AG94">
        <f t="shared" si="15"/>
        <v>0</v>
      </c>
      <c r="AH94" t="str">
        <f t="shared" si="16"/>
        <v/>
      </c>
      <c r="AI94" t="str">
        <f t="shared" si="17"/>
        <v/>
      </c>
    </row>
    <row r="95" spans="1:35" x14ac:dyDescent="0.25">
      <c r="A95" s="9"/>
      <c r="B95" s="9"/>
      <c r="C95" s="9"/>
      <c r="D95" s="9"/>
      <c r="E95" s="9"/>
      <c r="F95" s="9"/>
      <c r="G95" s="9"/>
      <c r="H95" s="10"/>
      <c r="I95" s="10"/>
      <c r="J95" s="9"/>
      <c r="K95" s="11"/>
      <c r="L95" s="11"/>
      <c r="M95" s="12" t="str">
        <f t="shared" si="9"/>
        <v/>
      </c>
      <c r="N95" s="13"/>
      <c r="O95" s="13"/>
      <c r="P95" s="13"/>
      <c r="Q95" s="13"/>
      <c r="R95" s="13"/>
      <c r="S95" s="13"/>
      <c r="T95" s="13"/>
      <c r="U95" s="13"/>
      <c r="V95" s="13"/>
      <c r="W95" s="13"/>
      <c r="X95" s="13"/>
      <c r="Y95" s="13"/>
      <c r="Z95" s="9"/>
      <c r="AB95" t="str">
        <f t="shared" si="10"/>
        <v/>
      </c>
      <c r="AC95">
        <f t="shared" si="11"/>
        <v>0</v>
      </c>
      <c r="AD95">
        <f t="shared" si="12"/>
        <v>0</v>
      </c>
      <c r="AE95" t="str">
        <f t="shared" si="13"/>
        <v/>
      </c>
      <c r="AF95" t="str">
        <f t="shared" si="14"/>
        <v/>
      </c>
      <c r="AG95">
        <f t="shared" si="15"/>
        <v>0</v>
      </c>
      <c r="AH95" t="str">
        <f t="shared" si="16"/>
        <v/>
      </c>
      <c r="AI95" t="str">
        <f t="shared" si="17"/>
        <v/>
      </c>
    </row>
    <row r="96" spans="1:35" x14ac:dyDescent="0.25">
      <c r="A96" s="9"/>
      <c r="B96" s="9"/>
      <c r="C96" s="9"/>
      <c r="D96" s="9"/>
      <c r="E96" s="9"/>
      <c r="F96" s="9"/>
      <c r="G96" s="9"/>
      <c r="H96" s="10"/>
      <c r="I96" s="10"/>
      <c r="J96" s="9"/>
      <c r="K96" s="11"/>
      <c r="L96" s="11"/>
      <c r="M96" s="12" t="str">
        <f t="shared" si="9"/>
        <v/>
      </c>
      <c r="N96" s="13"/>
      <c r="O96" s="13"/>
      <c r="P96" s="13"/>
      <c r="Q96" s="13"/>
      <c r="R96" s="13"/>
      <c r="S96" s="13"/>
      <c r="T96" s="13"/>
      <c r="U96" s="13"/>
      <c r="V96" s="13"/>
      <c r="W96" s="13"/>
      <c r="X96" s="13"/>
      <c r="Y96" s="13"/>
      <c r="Z96" s="9"/>
      <c r="AB96" t="str">
        <f t="shared" si="10"/>
        <v/>
      </c>
      <c r="AC96">
        <f t="shared" si="11"/>
        <v>0</v>
      </c>
      <c r="AD96">
        <f t="shared" si="12"/>
        <v>0</v>
      </c>
      <c r="AE96" t="str">
        <f t="shared" si="13"/>
        <v/>
      </c>
      <c r="AF96" t="str">
        <f t="shared" si="14"/>
        <v/>
      </c>
      <c r="AG96">
        <f t="shared" si="15"/>
        <v>0</v>
      </c>
      <c r="AH96" t="str">
        <f t="shared" si="16"/>
        <v/>
      </c>
      <c r="AI96" t="str">
        <f t="shared" si="17"/>
        <v/>
      </c>
    </row>
    <row r="97" spans="1:35" x14ac:dyDescent="0.25">
      <c r="A97" s="9"/>
      <c r="B97" s="9"/>
      <c r="C97" s="9"/>
      <c r="D97" s="9"/>
      <c r="E97" s="9"/>
      <c r="F97" s="9"/>
      <c r="G97" s="9"/>
      <c r="H97" s="10"/>
      <c r="I97" s="10"/>
      <c r="J97" s="9"/>
      <c r="K97" s="11"/>
      <c r="L97" s="11"/>
      <c r="M97" s="12" t="str">
        <f t="shared" si="9"/>
        <v/>
      </c>
      <c r="N97" s="13"/>
      <c r="O97" s="13"/>
      <c r="P97" s="13"/>
      <c r="Q97" s="13"/>
      <c r="R97" s="13"/>
      <c r="S97" s="13"/>
      <c r="T97" s="13"/>
      <c r="U97" s="13"/>
      <c r="V97" s="13"/>
      <c r="W97" s="13"/>
      <c r="X97" s="13"/>
      <c r="Y97" s="13"/>
      <c r="Z97" s="9"/>
      <c r="AB97" t="str">
        <f t="shared" si="10"/>
        <v/>
      </c>
      <c r="AC97">
        <f t="shared" si="11"/>
        <v>0</v>
      </c>
      <c r="AD97">
        <f t="shared" si="12"/>
        <v>0</v>
      </c>
      <c r="AE97" t="str">
        <f t="shared" si="13"/>
        <v/>
      </c>
      <c r="AF97" t="str">
        <f t="shared" si="14"/>
        <v/>
      </c>
      <c r="AG97">
        <f t="shared" si="15"/>
        <v>0</v>
      </c>
      <c r="AH97" t="str">
        <f t="shared" si="16"/>
        <v/>
      </c>
      <c r="AI97" t="str">
        <f t="shared" si="17"/>
        <v/>
      </c>
    </row>
    <row r="98" spans="1:35" x14ac:dyDescent="0.25">
      <c r="A98" s="9"/>
      <c r="B98" s="9"/>
      <c r="C98" s="9"/>
      <c r="D98" s="9"/>
      <c r="E98" s="9"/>
      <c r="F98" s="9"/>
      <c r="G98" s="9"/>
      <c r="H98" s="10"/>
      <c r="I98" s="10"/>
      <c r="J98" s="9"/>
      <c r="K98" s="11"/>
      <c r="L98" s="11"/>
      <c r="M98" s="12" t="str">
        <f t="shared" si="9"/>
        <v/>
      </c>
      <c r="N98" s="13"/>
      <c r="O98" s="13"/>
      <c r="P98" s="13"/>
      <c r="Q98" s="13"/>
      <c r="R98" s="13"/>
      <c r="S98" s="13"/>
      <c r="T98" s="13"/>
      <c r="U98" s="13"/>
      <c r="V98" s="13"/>
      <c r="W98" s="13"/>
      <c r="X98" s="13"/>
      <c r="Y98" s="13"/>
      <c r="Z98" s="9"/>
      <c r="AB98" t="str">
        <f t="shared" si="10"/>
        <v/>
      </c>
      <c r="AC98">
        <f t="shared" si="11"/>
        <v>0</v>
      </c>
      <c r="AD98">
        <f t="shared" si="12"/>
        <v>0</v>
      </c>
      <c r="AE98" t="str">
        <f t="shared" si="13"/>
        <v/>
      </c>
      <c r="AF98" t="str">
        <f t="shared" si="14"/>
        <v/>
      </c>
      <c r="AG98">
        <f t="shared" si="15"/>
        <v>0</v>
      </c>
      <c r="AH98" t="str">
        <f t="shared" si="16"/>
        <v/>
      </c>
      <c r="AI98" t="str">
        <f t="shared" si="17"/>
        <v/>
      </c>
    </row>
    <row r="99" spans="1:35" x14ac:dyDescent="0.25">
      <c r="A99" s="9"/>
      <c r="B99" s="9"/>
      <c r="C99" s="9"/>
      <c r="D99" s="9"/>
      <c r="E99" s="9"/>
      <c r="F99" s="9"/>
      <c r="G99" s="9"/>
      <c r="H99" s="10"/>
      <c r="I99" s="10"/>
      <c r="J99" s="9"/>
      <c r="K99" s="11"/>
      <c r="L99" s="11"/>
      <c r="M99" s="12" t="str">
        <f t="shared" si="9"/>
        <v/>
      </c>
      <c r="N99" s="13"/>
      <c r="O99" s="13"/>
      <c r="P99" s="13"/>
      <c r="Q99" s="13"/>
      <c r="R99" s="13"/>
      <c r="S99" s="13"/>
      <c r="T99" s="13"/>
      <c r="U99" s="13"/>
      <c r="V99" s="13"/>
      <c r="W99" s="13"/>
      <c r="X99" s="13"/>
      <c r="Y99" s="13"/>
      <c r="Z99" s="9"/>
      <c r="AB99" t="str">
        <f t="shared" si="10"/>
        <v/>
      </c>
      <c r="AC99">
        <f t="shared" si="11"/>
        <v>0</v>
      </c>
      <c r="AD99">
        <f t="shared" si="12"/>
        <v>0</v>
      </c>
      <c r="AE99" t="str">
        <f t="shared" si="13"/>
        <v/>
      </c>
      <c r="AF99" t="str">
        <f t="shared" si="14"/>
        <v/>
      </c>
      <c r="AG99">
        <f t="shared" si="15"/>
        <v>0</v>
      </c>
      <c r="AH99" t="str">
        <f t="shared" si="16"/>
        <v/>
      </c>
      <c r="AI99" t="str">
        <f t="shared" si="17"/>
        <v/>
      </c>
    </row>
    <row r="100" spans="1:35" x14ac:dyDescent="0.25">
      <c r="A100" s="9"/>
      <c r="B100" s="9"/>
      <c r="C100" s="9"/>
      <c r="D100" s="9"/>
      <c r="E100" s="9"/>
      <c r="F100" s="9"/>
      <c r="G100" s="9"/>
      <c r="H100" s="10"/>
      <c r="I100" s="10"/>
      <c r="J100" s="9"/>
      <c r="K100" s="11"/>
      <c r="L100" s="11"/>
      <c r="M100" s="12" t="str">
        <f t="shared" si="9"/>
        <v/>
      </c>
      <c r="N100" s="13"/>
      <c r="O100" s="13"/>
      <c r="P100" s="13"/>
      <c r="Q100" s="13"/>
      <c r="R100" s="13"/>
      <c r="S100" s="13"/>
      <c r="T100" s="13"/>
      <c r="U100" s="13"/>
      <c r="V100" s="13"/>
      <c r="W100" s="13"/>
      <c r="X100" s="13"/>
      <c r="Y100" s="13"/>
      <c r="Z100" s="9"/>
      <c r="AB100" t="str">
        <f t="shared" si="10"/>
        <v/>
      </c>
      <c r="AC100">
        <f t="shared" si="11"/>
        <v>0</v>
      </c>
      <c r="AD100">
        <f t="shared" si="12"/>
        <v>0</v>
      </c>
      <c r="AE100" t="str">
        <f t="shared" si="13"/>
        <v/>
      </c>
      <c r="AF100" t="str">
        <f t="shared" si="14"/>
        <v/>
      </c>
      <c r="AG100">
        <f t="shared" si="15"/>
        <v>0</v>
      </c>
      <c r="AH100" t="str">
        <f t="shared" si="16"/>
        <v/>
      </c>
      <c r="AI100" t="str">
        <f t="shared" si="17"/>
        <v/>
      </c>
    </row>
    <row r="101" spans="1:35" x14ac:dyDescent="0.25">
      <c r="A101" s="9"/>
      <c r="B101" s="9"/>
      <c r="C101" s="9"/>
      <c r="D101" s="9"/>
      <c r="E101" s="9"/>
      <c r="F101" s="9"/>
      <c r="G101" s="9"/>
      <c r="H101" s="10"/>
      <c r="I101" s="10"/>
      <c r="J101" s="9"/>
      <c r="K101" s="11"/>
      <c r="L101" s="11"/>
      <c r="M101" s="12" t="str">
        <f t="shared" si="9"/>
        <v/>
      </c>
      <c r="N101" s="13"/>
      <c r="O101" s="13"/>
      <c r="P101" s="13"/>
      <c r="Q101" s="13"/>
      <c r="R101" s="13"/>
      <c r="S101" s="13"/>
      <c r="T101" s="13"/>
      <c r="U101" s="13"/>
      <c r="V101" s="13"/>
      <c r="W101" s="13"/>
      <c r="X101" s="13"/>
      <c r="Y101" s="13"/>
      <c r="Z101" s="9"/>
      <c r="AB101" t="str">
        <f t="shared" si="10"/>
        <v/>
      </c>
      <c r="AC101">
        <f t="shared" si="11"/>
        <v>0</v>
      </c>
      <c r="AD101">
        <f t="shared" si="12"/>
        <v>0</v>
      </c>
      <c r="AE101" t="str">
        <f t="shared" si="13"/>
        <v/>
      </c>
      <c r="AF101" t="str">
        <f t="shared" si="14"/>
        <v/>
      </c>
      <c r="AG101">
        <f t="shared" si="15"/>
        <v>0</v>
      </c>
      <c r="AH101" t="str">
        <f t="shared" si="16"/>
        <v/>
      </c>
      <c r="AI101" t="str">
        <f t="shared" si="17"/>
        <v/>
      </c>
    </row>
    <row r="102" spans="1:35" x14ac:dyDescent="0.25">
      <c r="A102" s="9"/>
      <c r="B102" s="9"/>
      <c r="C102" s="9"/>
      <c r="D102" s="9"/>
      <c r="E102" s="9"/>
      <c r="F102" s="9"/>
      <c r="G102" s="9"/>
      <c r="H102" s="10"/>
      <c r="I102" s="10"/>
      <c r="J102" s="9"/>
      <c r="K102" s="11"/>
      <c r="L102" s="11"/>
      <c r="M102" s="12" t="str">
        <f t="shared" si="9"/>
        <v/>
      </c>
      <c r="N102" s="13"/>
      <c r="O102" s="13"/>
      <c r="P102" s="13"/>
      <c r="Q102" s="13"/>
      <c r="R102" s="13"/>
      <c r="S102" s="13"/>
      <c r="T102" s="13"/>
      <c r="U102" s="13"/>
      <c r="V102" s="13"/>
      <c r="W102" s="13"/>
      <c r="X102" s="13"/>
      <c r="Y102" s="13"/>
      <c r="Z102" s="9"/>
      <c r="AB102" t="str">
        <f t="shared" si="10"/>
        <v/>
      </c>
      <c r="AC102">
        <f t="shared" si="11"/>
        <v>0</v>
      </c>
      <c r="AD102">
        <f t="shared" si="12"/>
        <v>0</v>
      </c>
      <c r="AE102" t="str">
        <f t="shared" si="13"/>
        <v/>
      </c>
      <c r="AF102" t="str">
        <f t="shared" si="14"/>
        <v/>
      </c>
      <c r="AG102">
        <f t="shared" si="15"/>
        <v>0</v>
      </c>
      <c r="AH102" t="str">
        <f t="shared" si="16"/>
        <v/>
      </c>
      <c r="AI102" t="str">
        <f t="shared" si="17"/>
        <v/>
      </c>
    </row>
    <row r="103" spans="1:35" x14ac:dyDescent="0.25">
      <c r="A103" s="9"/>
      <c r="B103" s="9"/>
      <c r="C103" s="9"/>
      <c r="D103" s="9"/>
      <c r="E103" s="9"/>
      <c r="F103" s="9"/>
      <c r="G103" s="9"/>
      <c r="H103" s="10"/>
      <c r="I103" s="10"/>
      <c r="J103" s="9"/>
      <c r="K103" s="11"/>
      <c r="L103" s="11"/>
      <c r="M103" s="12" t="str">
        <f t="shared" si="9"/>
        <v/>
      </c>
      <c r="N103" s="13"/>
      <c r="O103" s="13"/>
      <c r="P103" s="13"/>
      <c r="Q103" s="13"/>
      <c r="R103" s="13"/>
      <c r="S103" s="13"/>
      <c r="T103" s="13"/>
      <c r="U103" s="13"/>
      <c r="V103" s="13"/>
      <c r="W103" s="13"/>
      <c r="X103" s="13"/>
      <c r="Y103" s="13"/>
      <c r="Z103" s="9"/>
      <c r="AB103" t="str">
        <f t="shared" si="10"/>
        <v/>
      </c>
      <c r="AC103">
        <f t="shared" si="11"/>
        <v>0</v>
      </c>
      <c r="AD103">
        <f t="shared" si="12"/>
        <v>0</v>
      </c>
      <c r="AE103" t="str">
        <f t="shared" si="13"/>
        <v/>
      </c>
      <c r="AF103" t="str">
        <f t="shared" si="14"/>
        <v/>
      </c>
      <c r="AG103">
        <f t="shared" si="15"/>
        <v>0</v>
      </c>
      <c r="AH103" t="str">
        <f t="shared" si="16"/>
        <v/>
      </c>
      <c r="AI103" t="str">
        <f t="shared" si="17"/>
        <v/>
      </c>
    </row>
    <row r="104" spans="1:35" x14ac:dyDescent="0.25">
      <c r="A104" s="9"/>
      <c r="B104" s="9"/>
      <c r="C104" s="9"/>
      <c r="D104" s="9"/>
      <c r="E104" s="9"/>
      <c r="F104" s="9"/>
      <c r="G104" s="9"/>
      <c r="H104" s="10"/>
      <c r="I104" s="10"/>
      <c r="J104" s="9"/>
      <c r="K104" s="11"/>
      <c r="L104" s="11"/>
      <c r="M104" s="12" t="str">
        <f t="shared" si="9"/>
        <v/>
      </c>
      <c r="N104" s="13"/>
      <c r="O104" s="13"/>
      <c r="P104" s="13"/>
      <c r="Q104" s="13"/>
      <c r="R104" s="13"/>
      <c r="S104" s="13"/>
      <c r="T104" s="13"/>
      <c r="U104" s="13"/>
      <c r="V104" s="13"/>
      <c r="W104" s="13"/>
      <c r="X104" s="13"/>
      <c r="Y104" s="13"/>
      <c r="Z104" s="9"/>
      <c r="AB104" t="str">
        <f t="shared" si="10"/>
        <v/>
      </c>
      <c r="AC104">
        <f t="shared" si="11"/>
        <v>0</v>
      </c>
      <c r="AD104">
        <f t="shared" si="12"/>
        <v>0</v>
      </c>
      <c r="AE104" t="str">
        <f t="shared" si="13"/>
        <v/>
      </c>
      <c r="AF104" t="str">
        <f t="shared" si="14"/>
        <v/>
      </c>
      <c r="AG104">
        <f t="shared" si="15"/>
        <v>0</v>
      </c>
      <c r="AH104" t="str">
        <f t="shared" si="16"/>
        <v/>
      </c>
      <c r="AI104" t="str">
        <f t="shared" si="17"/>
        <v/>
      </c>
    </row>
    <row r="105" spans="1:35" x14ac:dyDescent="0.25">
      <c r="A105" s="9"/>
      <c r="B105" s="9"/>
      <c r="C105" s="9"/>
      <c r="D105" s="9"/>
      <c r="E105" s="9"/>
      <c r="F105" s="9"/>
      <c r="G105" s="9"/>
      <c r="H105" s="10"/>
      <c r="I105" s="10"/>
      <c r="J105" s="9"/>
      <c r="K105" s="11"/>
      <c r="L105" s="11"/>
      <c r="M105" s="12" t="str">
        <f t="shared" si="9"/>
        <v/>
      </c>
      <c r="N105" s="13"/>
      <c r="O105" s="13"/>
      <c r="P105" s="13"/>
      <c r="Q105" s="13"/>
      <c r="R105" s="13"/>
      <c r="S105" s="13"/>
      <c r="T105" s="13"/>
      <c r="U105" s="13"/>
      <c r="V105" s="13"/>
      <c r="W105" s="13"/>
      <c r="X105" s="13"/>
      <c r="Y105" s="13"/>
      <c r="Z105" s="9"/>
      <c r="AB105" t="str">
        <f t="shared" si="10"/>
        <v/>
      </c>
      <c r="AC105">
        <f t="shared" si="11"/>
        <v>0</v>
      </c>
      <c r="AD105">
        <f t="shared" si="12"/>
        <v>0</v>
      </c>
      <c r="AE105" t="str">
        <f t="shared" si="13"/>
        <v/>
      </c>
      <c r="AF105" t="str">
        <f t="shared" si="14"/>
        <v/>
      </c>
      <c r="AG105">
        <f t="shared" si="15"/>
        <v>0</v>
      </c>
      <c r="AH105" t="str">
        <f t="shared" si="16"/>
        <v/>
      </c>
      <c r="AI105" t="str">
        <f t="shared" si="17"/>
        <v/>
      </c>
    </row>
    <row r="106" spans="1:35" x14ac:dyDescent="0.25">
      <c r="A106" s="9"/>
      <c r="B106" s="9"/>
      <c r="C106" s="9"/>
      <c r="D106" s="9"/>
      <c r="E106" s="9"/>
      <c r="F106" s="9"/>
      <c r="G106" s="9"/>
      <c r="H106" s="10"/>
      <c r="I106" s="10"/>
      <c r="J106" s="9"/>
      <c r="K106" s="11"/>
      <c r="L106" s="11"/>
      <c r="M106" s="12" t="str">
        <f t="shared" si="9"/>
        <v/>
      </c>
      <c r="N106" s="13"/>
      <c r="O106" s="13"/>
      <c r="P106" s="13"/>
      <c r="Q106" s="13"/>
      <c r="R106" s="13"/>
      <c r="S106" s="13"/>
      <c r="T106" s="13"/>
      <c r="U106" s="13"/>
      <c r="V106" s="13"/>
      <c r="W106" s="13"/>
      <c r="X106" s="13"/>
      <c r="Y106" s="13"/>
      <c r="Z106" s="9"/>
      <c r="AB106" t="str">
        <f t="shared" si="10"/>
        <v/>
      </c>
      <c r="AC106">
        <f t="shared" si="11"/>
        <v>0</v>
      </c>
      <c r="AD106">
        <f t="shared" si="12"/>
        <v>0</v>
      </c>
      <c r="AE106" t="str">
        <f t="shared" si="13"/>
        <v/>
      </c>
      <c r="AF106" t="str">
        <f t="shared" si="14"/>
        <v/>
      </c>
      <c r="AG106">
        <f t="shared" si="15"/>
        <v>0</v>
      </c>
      <c r="AH106" t="str">
        <f t="shared" si="16"/>
        <v/>
      </c>
      <c r="AI106" t="str">
        <f t="shared" si="17"/>
        <v/>
      </c>
    </row>
    <row r="107" spans="1:35" x14ac:dyDescent="0.25">
      <c r="A107" s="9"/>
      <c r="B107" s="9"/>
      <c r="C107" s="9"/>
      <c r="D107" s="9"/>
      <c r="E107" s="9"/>
      <c r="F107" s="9"/>
      <c r="G107" s="9"/>
      <c r="H107" s="10"/>
      <c r="I107" s="10"/>
      <c r="J107" s="9"/>
      <c r="K107" s="11"/>
      <c r="L107" s="11"/>
      <c r="M107" s="12" t="str">
        <f t="shared" si="9"/>
        <v/>
      </c>
      <c r="N107" s="13"/>
      <c r="O107" s="13"/>
      <c r="P107" s="13"/>
      <c r="Q107" s="13"/>
      <c r="R107" s="13"/>
      <c r="S107" s="13"/>
      <c r="T107" s="13"/>
      <c r="U107" s="13"/>
      <c r="V107" s="13"/>
      <c r="W107" s="13"/>
      <c r="X107" s="13"/>
      <c r="Y107" s="13"/>
      <c r="Z107" s="9"/>
      <c r="AB107" t="str">
        <f t="shared" si="10"/>
        <v/>
      </c>
      <c r="AC107">
        <f t="shared" si="11"/>
        <v>0</v>
      </c>
      <c r="AD107">
        <f t="shared" si="12"/>
        <v>0</v>
      </c>
      <c r="AE107" t="str">
        <f t="shared" si="13"/>
        <v/>
      </c>
      <c r="AF107" t="str">
        <f t="shared" si="14"/>
        <v/>
      </c>
      <c r="AG107">
        <f t="shared" si="15"/>
        <v>0</v>
      </c>
      <c r="AH107" t="str">
        <f t="shared" si="16"/>
        <v/>
      </c>
      <c r="AI107" t="str">
        <f t="shared" si="17"/>
        <v/>
      </c>
    </row>
    <row r="108" spans="1:35" x14ac:dyDescent="0.25">
      <c r="A108" s="9"/>
      <c r="B108" s="9"/>
      <c r="C108" s="9"/>
      <c r="D108" s="9"/>
      <c r="E108" s="9"/>
      <c r="F108" s="9"/>
      <c r="G108" s="9"/>
      <c r="H108" s="10"/>
      <c r="I108" s="10"/>
      <c r="J108" s="9"/>
      <c r="K108" s="11"/>
      <c r="L108" s="11"/>
      <c r="M108" s="12" t="str">
        <f t="shared" si="9"/>
        <v/>
      </c>
      <c r="N108" s="13"/>
      <c r="O108" s="13"/>
      <c r="P108" s="13"/>
      <c r="Q108" s="13"/>
      <c r="R108" s="13"/>
      <c r="S108" s="13"/>
      <c r="T108" s="13"/>
      <c r="U108" s="13"/>
      <c r="V108" s="13"/>
      <c r="W108" s="13"/>
      <c r="X108" s="13"/>
      <c r="Y108" s="13"/>
      <c r="Z108" s="9"/>
      <c r="AB108" t="str">
        <f t="shared" si="10"/>
        <v/>
      </c>
      <c r="AC108">
        <f t="shared" si="11"/>
        <v>0</v>
      </c>
      <c r="AD108">
        <f t="shared" si="12"/>
        <v>0</v>
      </c>
      <c r="AE108" t="str">
        <f t="shared" si="13"/>
        <v/>
      </c>
      <c r="AF108" t="str">
        <f t="shared" si="14"/>
        <v/>
      </c>
      <c r="AG108">
        <f t="shared" si="15"/>
        <v>0</v>
      </c>
      <c r="AH108" t="str">
        <f t="shared" si="16"/>
        <v/>
      </c>
      <c r="AI108" t="str">
        <f t="shared" si="17"/>
        <v/>
      </c>
    </row>
    <row r="109" spans="1:35" x14ac:dyDescent="0.25">
      <c r="A109" s="9"/>
      <c r="B109" s="9"/>
      <c r="C109" s="9"/>
      <c r="D109" s="9"/>
      <c r="E109" s="9"/>
      <c r="F109" s="9"/>
      <c r="G109" s="9"/>
      <c r="H109" s="10"/>
      <c r="I109" s="10"/>
      <c r="J109" s="9"/>
      <c r="K109" s="11"/>
      <c r="L109" s="11"/>
      <c r="M109" s="12" t="str">
        <f t="shared" si="9"/>
        <v/>
      </c>
      <c r="N109" s="13"/>
      <c r="O109" s="13"/>
      <c r="P109" s="13"/>
      <c r="Q109" s="13"/>
      <c r="R109" s="13"/>
      <c r="S109" s="13"/>
      <c r="T109" s="13"/>
      <c r="U109" s="13"/>
      <c r="V109" s="13"/>
      <c r="W109" s="13"/>
      <c r="X109" s="13"/>
      <c r="Y109" s="13"/>
      <c r="Z109" s="9"/>
      <c r="AB109" t="str">
        <f t="shared" si="10"/>
        <v/>
      </c>
      <c r="AC109">
        <f t="shared" si="11"/>
        <v>0</v>
      </c>
      <c r="AD109">
        <f t="shared" si="12"/>
        <v>0</v>
      </c>
      <c r="AE109" t="str">
        <f t="shared" si="13"/>
        <v/>
      </c>
      <c r="AF109" t="str">
        <f t="shared" si="14"/>
        <v/>
      </c>
      <c r="AG109">
        <f t="shared" si="15"/>
        <v>0</v>
      </c>
      <c r="AH109" t="str">
        <f t="shared" si="16"/>
        <v/>
      </c>
      <c r="AI109" t="str">
        <f t="shared" si="17"/>
        <v/>
      </c>
    </row>
    <row r="110" spans="1:35" x14ac:dyDescent="0.25">
      <c r="A110" s="9"/>
      <c r="B110" s="9"/>
      <c r="C110" s="9"/>
      <c r="D110" s="9"/>
      <c r="E110" s="9"/>
      <c r="F110" s="9"/>
      <c r="G110" s="9"/>
      <c r="H110" s="10"/>
      <c r="I110" s="10"/>
      <c r="J110" s="9"/>
      <c r="K110" s="11"/>
      <c r="L110" s="11"/>
      <c r="M110" s="12" t="str">
        <f t="shared" si="9"/>
        <v/>
      </c>
      <c r="N110" s="13"/>
      <c r="O110" s="13"/>
      <c r="P110" s="13"/>
      <c r="Q110" s="13"/>
      <c r="R110" s="13"/>
      <c r="S110" s="13"/>
      <c r="T110" s="13"/>
      <c r="U110" s="13"/>
      <c r="V110" s="13"/>
      <c r="W110" s="13"/>
      <c r="X110" s="13"/>
      <c r="Y110" s="13"/>
      <c r="Z110" s="9"/>
      <c r="AB110" t="str">
        <f t="shared" si="10"/>
        <v/>
      </c>
      <c r="AC110">
        <f t="shared" si="11"/>
        <v>0</v>
      </c>
      <c r="AD110">
        <f t="shared" si="12"/>
        <v>0</v>
      </c>
      <c r="AE110" t="str">
        <f t="shared" si="13"/>
        <v/>
      </c>
      <c r="AF110" t="str">
        <f t="shared" si="14"/>
        <v/>
      </c>
      <c r="AG110">
        <f t="shared" si="15"/>
        <v>0</v>
      </c>
      <c r="AH110" t="str">
        <f t="shared" si="16"/>
        <v/>
      </c>
      <c r="AI110" t="str">
        <f t="shared" si="17"/>
        <v/>
      </c>
    </row>
    <row r="111" spans="1:35" x14ac:dyDescent="0.25">
      <c r="A111" s="9"/>
      <c r="B111" s="9"/>
      <c r="C111" s="9"/>
      <c r="D111" s="9"/>
      <c r="E111" s="9"/>
      <c r="F111" s="9"/>
      <c r="G111" s="9"/>
      <c r="H111" s="10"/>
      <c r="I111" s="10"/>
      <c r="J111" s="9"/>
      <c r="K111" s="11"/>
      <c r="L111" s="11"/>
      <c r="M111" s="12" t="str">
        <f t="shared" si="9"/>
        <v/>
      </c>
      <c r="N111" s="13"/>
      <c r="O111" s="13"/>
      <c r="P111" s="13"/>
      <c r="Q111" s="13"/>
      <c r="R111" s="13"/>
      <c r="S111" s="13"/>
      <c r="T111" s="13"/>
      <c r="U111" s="13"/>
      <c r="V111" s="13"/>
      <c r="W111" s="13"/>
      <c r="X111" s="13"/>
      <c r="Y111" s="13"/>
      <c r="Z111" s="9"/>
      <c r="AB111" t="str">
        <f t="shared" si="10"/>
        <v/>
      </c>
      <c r="AC111">
        <f t="shared" si="11"/>
        <v>0</v>
      </c>
      <c r="AD111">
        <f t="shared" si="12"/>
        <v>0</v>
      </c>
      <c r="AE111" t="str">
        <f t="shared" si="13"/>
        <v/>
      </c>
      <c r="AF111" t="str">
        <f t="shared" si="14"/>
        <v/>
      </c>
      <c r="AG111">
        <f t="shared" si="15"/>
        <v>0</v>
      </c>
      <c r="AH111" t="str">
        <f t="shared" si="16"/>
        <v/>
      </c>
      <c r="AI111" t="str">
        <f t="shared" si="17"/>
        <v/>
      </c>
    </row>
    <row r="112" spans="1:35" x14ac:dyDescent="0.25">
      <c r="A112" s="9"/>
      <c r="B112" s="9"/>
      <c r="C112" s="9"/>
      <c r="D112" s="9"/>
      <c r="E112" s="9"/>
      <c r="F112" s="9"/>
      <c r="G112" s="9"/>
      <c r="H112" s="10"/>
      <c r="I112" s="10"/>
      <c r="J112" s="9"/>
      <c r="K112" s="11"/>
      <c r="L112" s="11"/>
      <c r="M112" s="12" t="str">
        <f t="shared" si="9"/>
        <v/>
      </c>
      <c r="N112" s="13"/>
      <c r="O112" s="13"/>
      <c r="P112" s="13"/>
      <c r="Q112" s="13"/>
      <c r="R112" s="13"/>
      <c r="S112" s="13"/>
      <c r="T112" s="13"/>
      <c r="U112" s="13"/>
      <c r="V112" s="13"/>
      <c r="W112" s="13"/>
      <c r="X112" s="13"/>
      <c r="Y112" s="13"/>
      <c r="Z112" s="9"/>
      <c r="AB112" t="str">
        <f t="shared" si="10"/>
        <v/>
      </c>
      <c r="AC112">
        <f t="shared" si="11"/>
        <v>0</v>
      </c>
      <c r="AD112">
        <f t="shared" si="12"/>
        <v>0</v>
      </c>
      <c r="AE112" t="str">
        <f t="shared" si="13"/>
        <v/>
      </c>
      <c r="AF112" t="str">
        <f t="shared" si="14"/>
        <v/>
      </c>
      <c r="AG112">
        <f t="shared" si="15"/>
        <v>0</v>
      </c>
      <c r="AH112" t="str">
        <f t="shared" si="16"/>
        <v/>
      </c>
      <c r="AI112" t="str">
        <f t="shared" si="17"/>
        <v/>
      </c>
    </row>
    <row r="113" spans="1:35" x14ac:dyDescent="0.25">
      <c r="A113" s="9"/>
      <c r="B113" s="9"/>
      <c r="C113" s="9"/>
      <c r="D113" s="9"/>
      <c r="E113" s="9"/>
      <c r="F113" s="9"/>
      <c r="G113" s="9"/>
      <c r="H113" s="10"/>
      <c r="I113" s="10"/>
      <c r="J113" s="9"/>
      <c r="K113" s="11"/>
      <c r="L113" s="11"/>
      <c r="M113" s="12" t="str">
        <f t="shared" si="9"/>
        <v/>
      </c>
      <c r="N113" s="13"/>
      <c r="O113" s="13"/>
      <c r="P113" s="13"/>
      <c r="Q113" s="13"/>
      <c r="R113" s="13"/>
      <c r="S113" s="13"/>
      <c r="T113" s="13"/>
      <c r="U113" s="13"/>
      <c r="V113" s="13"/>
      <c r="W113" s="13"/>
      <c r="X113" s="13"/>
      <c r="Y113" s="13"/>
      <c r="Z113" s="9"/>
      <c r="AB113" t="str">
        <f t="shared" si="10"/>
        <v/>
      </c>
      <c r="AC113">
        <f t="shared" si="11"/>
        <v>0</v>
      </c>
      <c r="AD113">
        <f t="shared" si="12"/>
        <v>0</v>
      </c>
      <c r="AE113" t="str">
        <f t="shared" si="13"/>
        <v/>
      </c>
      <c r="AF113" t="str">
        <f t="shared" si="14"/>
        <v/>
      </c>
      <c r="AG113">
        <f t="shared" si="15"/>
        <v>0</v>
      </c>
      <c r="AH113" t="str">
        <f t="shared" si="16"/>
        <v/>
      </c>
      <c r="AI113" t="str">
        <f t="shared" si="17"/>
        <v/>
      </c>
    </row>
    <row r="114" spans="1:35" x14ac:dyDescent="0.25">
      <c r="A114" s="9"/>
      <c r="B114" s="9"/>
      <c r="C114" s="9"/>
      <c r="D114" s="9"/>
      <c r="E114" s="9"/>
      <c r="F114" s="9"/>
      <c r="G114" s="9"/>
      <c r="H114" s="10"/>
      <c r="I114" s="10"/>
      <c r="J114" s="9"/>
      <c r="K114" s="11"/>
      <c r="L114" s="11"/>
      <c r="M114" s="12" t="str">
        <f t="shared" si="9"/>
        <v/>
      </c>
      <c r="N114" s="13"/>
      <c r="O114" s="13"/>
      <c r="P114" s="13"/>
      <c r="Q114" s="13"/>
      <c r="R114" s="13"/>
      <c r="S114" s="13"/>
      <c r="T114" s="13"/>
      <c r="U114" s="13"/>
      <c r="V114" s="13"/>
      <c r="W114" s="13"/>
      <c r="X114" s="13"/>
      <c r="Y114" s="13"/>
      <c r="Z114" s="9"/>
      <c r="AB114" t="str">
        <f t="shared" si="10"/>
        <v/>
      </c>
      <c r="AC114">
        <f t="shared" si="11"/>
        <v>0</v>
      </c>
      <c r="AD114">
        <f t="shared" si="12"/>
        <v>0</v>
      </c>
      <c r="AE114" t="str">
        <f t="shared" si="13"/>
        <v/>
      </c>
      <c r="AF114" t="str">
        <f t="shared" si="14"/>
        <v/>
      </c>
      <c r="AG114">
        <f t="shared" si="15"/>
        <v>0</v>
      </c>
      <c r="AH114" t="str">
        <f t="shared" si="16"/>
        <v/>
      </c>
      <c r="AI114" t="str">
        <f t="shared" si="17"/>
        <v/>
      </c>
    </row>
    <row r="115" spans="1:35" x14ac:dyDescent="0.25">
      <c r="A115" s="9"/>
      <c r="B115" s="9"/>
      <c r="C115" s="9"/>
      <c r="D115" s="9"/>
      <c r="E115" s="9"/>
      <c r="F115" s="9"/>
      <c r="G115" s="9"/>
      <c r="H115" s="10"/>
      <c r="I115" s="10"/>
      <c r="J115" s="9"/>
      <c r="K115" s="11"/>
      <c r="L115" s="11"/>
      <c r="M115" s="12" t="str">
        <f t="shared" si="9"/>
        <v/>
      </c>
      <c r="N115" s="13"/>
      <c r="O115" s="13"/>
      <c r="P115" s="13"/>
      <c r="Q115" s="13"/>
      <c r="R115" s="13"/>
      <c r="S115" s="13"/>
      <c r="T115" s="13"/>
      <c r="U115" s="13"/>
      <c r="V115" s="13"/>
      <c r="W115" s="13"/>
      <c r="X115" s="13"/>
      <c r="Y115" s="13"/>
      <c r="Z115" s="9"/>
      <c r="AB115" t="str">
        <f t="shared" si="10"/>
        <v/>
      </c>
      <c r="AC115">
        <f t="shared" si="11"/>
        <v>0</v>
      </c>
      <c r="AD115">
        <f t="shared" si="12"/>
        <v>0</v>
      </c>
      <c r="AE115" t="str">
        <f t="shared" si="13"/>
        <v/>
      </c>
      <c r="AF115" t="str">
        <f t="shared" si="14"/>
        <v/>
      </c>
      <c r="AG115">
        <f t="shared" si="15"/>
        <v>0</v>
      </c>
      <c r="AH115" t="str">
        <f t="shared" si="16"/>
        <v/>
      </c>
      <c r="AI115" t="str">
        <f t="shared" si="17"/>
        <v/>
      </c>
    </row>
    <row r="116" spans="1:35" x14ac:dyDescent="0.25">
      <c r="A116" s="9"/>
      <c r="B116" s="9"/>
      <c r="C116" s="9"/>
      <c r="D116" s="9"/>
      <c r="E116" s="9"/>
      <c r="F116" s="9"/>
      <c r="G116" s="9"/>
      <c r="H116" s="10"/>
      <c r="I116" s="10"/>
      <c r="J116" s="9"/>
      <c r="K116" s="11"/>
      <c r="L116" s="11"/>
      <c r="M116" s="12" t="str">
        <f t="shared" si="9"/>
        <v/>
      </c>
      <c r="N116" s="13"/>
      <c r="O116" s="13"/>
      <c r="P116" s="13"/>
      <c r="Q116" s="13"/>
      <c r="R116" s="13"/>
      <c r="S116" s="13"/>
      <c r="T116" s="13"/>
      <c r="U116" s="13"/>
      <c r="V116" s="13"/>
      <c r="W116" s="13"/>
      <c r="X116" s="13"/>
      <c r="Y116" s="13"/>
      <c r="Z116" s="9"/>
      <c r="AB116" t="str">
        <f t="shared" si="10"/>
        <v/>
      </c>
      <c r="AC116">
        <f t="shared" si="11"/>
        <v>0</v>
      </c>
      <c r="AD116">
        <f t="shared" si="12"/>
        <v>0</v>
      </c>
      <c r="AE116" t="str">
        <f t="shared" si="13"/>
        <v/>
      </c>
      <c r="AF116" t="str">
        <f t="shared" si="14"/>
        <v/>
      </c>
      <c r="AG116">
        <f t="shared" si="15"/>
        <v>0</v>
      </c>
      <c r="AH116" t="str">
        <f t="shared" si="16"/>
        <v/>
      </c>
      <c r="AI116" t="str">
        <f t="shared" si="17"/>
        <v/>
      </c>
    </row>
    <row r="117" spans="1:35" x14ac:dyDescent="0.25">
      <c r="A117" s="9"/>
      <c r="B117" s="9"/>
      <c r="C117" s="9"/>
      <c r="D117" s="9"/>
      <c r="E117" s="9"/>
      <c r="F117" s="9"/>
      <c r="G117" s="9"/>
      <c r="H117" s="10"/>
      <c r="I117" s="10"/>
      <c r="J117" s="9"/>
      <c r="K117" s="11"/>
      <c r="L117" s="11"/>
      <c r="M117" s="12" t="str">
        <f t="shared" si="9"/>
        <v/>
      </c>
      <c r="N117" s="13"/>
      <c r="O117" s="13"/>
      <c r="P117" s="13"/>
      <c r="Q117" s="13"/>
      <c r="R117" s="13"/>
      <c r="S117" s="13"/>
      <c r="T117" s="13"/>
      <c r="U117" s="13"/>
      <c r="V117" s="13"/>
      <c r="W117" s="13"/>
      <c r="X117" s="13"/>
      <c r="Y117" s="13"/>
      <c r="Z117" s="9"/>
      <c r="AB117" t="str">
        <f t="shared" si="10"/>
        <v/>
      </c>
      <c r="AC117">
        <f t="shared" si="11"/>
        <v>0</v>
      </c>
      <c r="AD117">
        <f t="shared" si="12"/>
        <v>0</v>
      </c>
      <c r="AE117" t="str">
        <f t="shared" si="13"/>
        <v/>
      </c>
      <c r="AF117" t="str">
        <f t="shared" si="14"/>
        <v/>
      </c>
      <c r="AG117">
        <f t="shared" si="15"/>
        <v>0</v>
      </c>
      <c r="AH117" t="str">
        <f t="shared" si="16"/>
        <v/>
      </c>
      <c r="AI117" t="str">
        <f t="shared" si="17"/>
        <v/>
      </c>
    </row>
    <row r="118" spans="1:35" x14ac:dyDescent="0.25">
      <c r="A118" s="9"/>
      <c r="B118" s="9"/>
      <c r="C118" s="9"/>
      <c r="D118" s="9"/>
      <c r="E118" s="9"/>
      <c r="F118" s="9"/>
      <c r="G118" s="9"/>
      <c r="H118" s="10"/>
      <c r="I118" s="10"/>
      <c r="J118" s="9"/>
      <c r="K118" s="11"/>
      <c r="L118" s="11"/>
      <c r="M118" s="12" t="str">
        <f t="shared" si="9"/>
        <v/>
      </c>
      <c r="N118" s="13"/>
      <c r="O118" s="13"/>
      <c r="P118" s="13"/>
      <c r="Q118" s="13"/>
      <c r="R118" s="13"/>
      <c r="S118" s="13"/>
      <c r="T118" s="13"/>
      <c r="U118" s="13"/>
      <c r="V118" s="13"/>
      <c r="W118" s="13"/>
      <c r="X118" s="13"/>
      <c r="Y118" s="13"/>
      <c r="Z118" s="9"/>
      <c r="AB118" t="str">
        <f t="shared" si="10"/>
        <v/>
      </c>
      <c r="AC118">
        <f t="shared" si="11"/>
        <v>0</v>
      </c>
      <c r="AD118">
        <f t="shared" si="12"/>
        <v>0</v>
      </c>
      <c r="AE118" t="str">
        <f t="shared" si="13"/>
        <v/>
      </c>
      <c r="AF118" t="str">
        <f t="shared" si="14"/>
        <v/>
      </c>
      <c r="AG118">
        <f t="shared" si="15"/>
        <v>0</v>
      </c>
      <c r="AH118" t="str">
        <f t="shared" si="16"/>
        <v/>
      </c>
      <c r="AI118" t="str">
        <f t="shared" si="17"/>
        <v/>
      </c>
    </row>
    <row r="119" spans="1:35" x14ac:dyDescent="0.25">
      <c r="A119" s="9"/>
      <c r="B119" s="9"/>
      <c r="C119" s="9"/>
      <c r="D119" s="9"/>
      <c r="E119" s="9"/>
      <c r="F119" s="9"/>
      <c r="G119" s="9"/>
      <c r="H119" s="10"/>
      <c r="I119" s="10"/>
      <c r="J119" s="9"/>
      <c r="K119" s="11"/>
      <c r="L119" s="11"/>
      <c r="M119" s="12" t="str">
        <f t="shared" si="9"/>
        <v/>
      </c>
      <c r="N119" s="13"/>
      <c r="O119" s="13"/>
      <c r="P119" s="13"/>
      <c r="Q119" s="13"/>
      <c r="R119" s="13"/>
      <c r="S119" s="13"/>
      <c r="T119" s="13"/>
      <c r="U119" s="13"/>
      <c r="V119" s="13"/>
      <c r="W119" s="13"/>
      <c r="X119" s="13"/>
      <c r="Y119" s="13"/>
      <c r="Z119" s="9"/>
      <c r="AB119" t="str">
        <f t="shared" si="10"/>
        <v/>
      </c>
      <c r="AC119">
        <f t="shared" si="11"/>
        <v>0</v>
      </c>
      <c r="AD119">
        <f t="shared" si="12"/>
        <v>0</v>
      </c>
      <c r="AE119" t="str">
        <f t="shared" si="13"/>
        <v/>
      </c>
      <c r="AF119" t="str">
        <f t="shared" si="14"/>
        <v/>
      </c>
      <c r="AG119">
        <f t="shared" si="15"/>
        <v>0</v>
      </c>
      <c r="AH119" t="str">
        <f t="shared" si="16"/>
        <v/>
      </c>
      <c r="AI119" t="str">
        <f t="shared" si="17"/>
        <v/>
      </c>
    </row>
    <row r="120" spans="1:35" x14ac:dyDescent="0.25">
      <c r="A120" s="9"/>
      <c r="B120" s="9"/>
      <c r="C120" s="9"/>
      <c r="D120" s="9"/>
      <c r="E120" s="9"/>
      <c r="F120" s="9"/>
      <c r="G120" s="9"/>
      <c r="H120" s="10"/>
      <c r="I120" s="10"/>
      <c r="J120" s="9"/>
      <c r="K120" s="11"/>
      <c r="L120" s="11"/>
      <c r="M120" s="12" t="str">
        <f t="shared" si="9"/>
        <v/>
      </c>
      <c r="N120" s="13"/>
      <c r="O120" s="13"/>
      <c r="P120" s="13"/>
      <c r="Q120" s="13"/>
      <c r="R120" s="13"/>
      <c r="S120" s="13"/>
      <c r="T120" s="13"/>
      <c r="U120" s="13"/>
      <c r="V120" s="13"/>
      <c r="W120" s="13"/>
      <c r="X120" s="13"/>
      <c r="Y120" s="13"/>
      <c r="Z120" s="9"/>
      <c r="AB120" t="str">
        <f t="shared" si="10"/>
        <v/>
      </c>
      <c r="AC120">
        <f t="shared" si="11"/>
        <v>0</v>
      </c>
      <c r="AD120">
        <f t="shared" si="12"/>
        <v>0</v>
      </c>
      <c r="AE120" t="str">
        <f t="shared" si="13"/>
        <v/>
      </c>
      <c r="AF120" t="str">
        <f t="shared" si="14"/>
        <v/>
      </c>
      <c r="AG120">
        <f t="shared" si="15"/>
        <v>0</v>
      </c>
      <c r="AH120" t="str">
        <f t="shared" si="16"/>
        <v/>
      </c>
      <c r="AI120" t="str">
        <f t="shared" si="17"/>
        <v/>
      </c>
    </row>
    <row r="121" spans="1:35" x14ac:dyDescent="0.25">
      <c r="A121" s="9"/>
      <c r="B121" s="9"/>
      <c r="C121" s="9"/>
      <c r="D121" s="9"/>
      <c r="E121" s="9"/>
      <c r="F121" s="9"/>
      <c r="G121" s="9"/>
      <c r="H121" s="10"/>
      <c r="I121" s="10"/>
      <c r="J121" s="9"/>
      <c r="K121" s="11"/>
      <c r="L121" s="11"/>
      <c r="M121" s="12" t="str">
        <f t="shared" si="9"/>
        <v/>
      </c>
      <c r="N121" s="13"/>
      <c r="O121" s="13"/>
      <c r="P121" s="13"/>
      <c r="Q121" s="13"/>
      <c r="R121" s="13"/>
      <c r="S121" s="13"/>
      <c r="T121" s="13"/>
      <c r="U121" s="13"/>
      <c r="V121" s="13"/>
      <c r="W121" s="13"/>
      <c r="X121" s="13"/>
      <c r="Y121" s="13"/>
      <c r="Z121" s="9"/>
      <c r="AB121" t="str">
        <f t="shared" si="10"/>
        <v/>
      </c>
      <c r="AC121">
        <f t="shared" si="11"/>
        <v>0</v>
      </c>
      <c r="AD121">
        <f t="shared" si="12"/>
        <v>0</v>
      </c>
      <c r="AE121" t="str">
        <f t="shared" si="13"/>
        <v/>
      </c>
      <c r="AF121" t="str">
        <f t="shared" si="14"/>
        <v/>
      </c>
      <c r="AG121">
        <f t="shared" si="15"/>
        <v>0</v>
      </c>
      <c r="AH121" t="str">
        <f t="shared" si="16"/>
        <v/>
      </c>
      <c r="AI121" t="str">
        <f t="shared" si="17"/>
        <v/>
      </c>
    </row>
    <row r="122" spans="1:35" x14ac:dyDescent="0.25">
      <c r="A122" s="9"/>
      <c r="B122" s="9"/>
      <c r="C122" s="9"/>
      <c r="D122" s="9"/>
      <c r="E122" s="9"/>
      <c r="F122" s="9"/>
      <c r="G122" s="9"/>
      <c r="H122" s="10"/>
      <c r="I122" s="10"/>
      <c r="J122" s="9"/>
      <c r="K122" s="11"/>
      <c r="L122" s="11"/>
      <c r="M122" s="12" t="str">
        <f t="shared" si="9"/>
        <v/>
      </c>
      <c r="N122" s="13"/>
      <c r="O122" s="13"/>
      <c r="P122" s="13"/>
      <c r="Q122" s="13"/>
      <c r="R122" s="13"/>
      <c r="S122" s="13"/>
      <c r="T122" s="13"/>
      <c r="U122" s="13"/>
      <c r="V122" s="13"/>
      <c r="W122" s="13"/>
      <c r="X122" s="13"/>
      <c r="Y122" s="13"/>
      <c r="Z122" s="9"/>
      <c r="AB122" t="str">
        <f t="shared" si="10"/>
        <v/>
      </c>
      <c r="AC122">
        <f t="shared" si="11"/>
        <v>0</v>
      </c>
      <c r="AD122">
        <f t="shared" si="12"/>
        <v>0</v>
      </c>
      <c r="AE122" t="str">
        <f t="shared" si="13"/>
        <v/>
      </c>
      <c r="AF122" t="str">
        <f t="shared" si="14"/>
        <v/>
      </c>
      <c r="AG122">
        <f t="shared" si="15"/>
        <v>0</v>
      </c>
      <c r="AH122" t="str">
        <f t="shared" si="16"/>
        <v/>
      </c>
      <c r="AI122" t="str">
        <f t="shared" si="17"/>
        <v/>
      </c>
    </row>
    <row r="123" spans="1:35" x14ac:dyDescent="0.25">
      <c r="A123" s="9"/>
      <c r="B123" s="9"/>
      <c r="C123" s="9"/>
      <c r="D123" s="9"/>
      <c r="E123" s="9"/>
      <c r="F123" s="9"/>
      <c r="G123" s="9"/>
      <c r="H123" s="10"/>
      <c r="I123" s="10"/>
      <c r="J123" s="9"/>
      <c r="K123" s="11"/>
      <c r="L123" s="11"/>
      <c r="M123" s="12" t="str">
        <f t="shared" si="9"/>
        <v/>
      </c>
      <c r="N123" s="13"/>
      <c r="O123" s="13"/>
      <c r="P123" s="13"/>
      <c r="Q123" s="13"/>
      <c r="R123" s="13"/>
      <c r="S123" s="13"/>
      <c r="T123" s="13"/>
      <c r="U123" s="13"/>
      <c r="V123" s="13"/>
      <c r="W123" s="13"/>
      <c r="X123" s="13"/>
      <c r="Y123" s="13"/>
      <c r="Z123" s="9"/>
      <c r="AB123" t="str">
        <f t="shared" si="10"/>
        <v/>
      </c>
      <c r="AC123">
        <f t="shared" si="11"/>
        <v>0</v>
      </c>
      <c r="AD123">
        <f t="shared" si="12"/>
        <v>0</v>
      </c>
      <c r="AE123" t="str">
        <f t="shared" si="13"/>
        <v/>
      </c>
      <c r="AF123" t="str">
        <f t="shared" si="14"/>
        <v/>
      </c>
      <c r="AG123">
        <f t="shared" si="15"/>
        <v>0</v>
      </c>
      <c r="AH123" t="str">
        <f t="shared" si="16"/>
        <v/>
      </c>
      <c r="AI123" t="str">
        <f t="shared" si="17"/>
        <v/>
      </c>
    </row>
    <row r="124" spans="1:35" x14ac:dyDescent="0.25">
      <c r="A124" s="9"/>
      <c r="B124" s="9"/>
      <c r="C124" s="9"/>
      <c r="D124" s="9"/>
      <c r="E124" s="9"/>
      <c r="F124" s="9"/>
      <c r="G124" s="9"/>
      <c r="H124" s="10"/>
      <c r="I124" s="10"/>
      <c r="J124" s="9"/>
      <c r="K124" s="11"/>
      <c r="L124" s="11"/>
      <c r="M124" s="12" t="str">
        <f t="shared" si="9"/>
        <v/>
      </c>
      <c r="N124" s="13"/>
      <c r="O124" s="13"/>
      <c r="P124" s="13"/>
      <c r="Q124" s="13"/>
      <c r="R124" s="13"/>
      <c r="S124" s="13"/>
      <c r="T124" s="13"/>
      <c r="U124" s="13"/>
      <c r="V124" s="13"/>
      <c r="W124" s="13"/>
      <c r="X124" s="13"/>
      <c r="Y124" s="13"/>
      <c r="Z124" s="9"/>
      <c r="AB124" t="str">
        <f t="shared" si="10"/>
        <v/>
      </c>
      <c r="AC124">
        <f t="shared" si="11"/>
        <v>0</v>
      </c>
      <c r="AD124">
        <f t="shared" si="12"/>
        <v>0</v>
      </c>
      <c r="AE124" t="str">
        <f t="shared" si="13"/>
        <v/>
      </c>
      <c r="AF124" t="str">
        <f t="shared" si="14"/>
        <v/>
      </c>
      <c r="AG124">
        <f t="shared" si="15"/>
        <v>0</v>
      </c>
      <c r="AH124" t="str">
        <f t="shared" si="16"/>
        <v/>
      </c>
      <c r="AI124" t="str">
        <f t="shared" si="17"/>
        <v/>
      </c>
    </row>
    <row r="125" spans="1:35" x14ac:dyDescent="0.25">
      <c r="A125" s="9"/>
      <c r="B125" s="9"/>
      <c r="C125" s="9"/>
      <c r="D125" s="9"/>
      <c r="E125" s="9"/>
      <c r="F125" s="9"/>
      <c r="G125" s="9"/>
      <c r="H125" s="10"/>
      <c r="I125" s="10"/>
      <c r="J125" s="9"/>
      <c r="K125" s="11"/>
      <c r="L125" s="11"/>
      <c r="M125" s="12" t="str">
        <f t="shared" si="9"/>
        <v/>
      </c>
      <c r="N125" s="13"/>
      <c r="O125" s="13"/>
      <c r="P125" s="13"/>
      <c r="Q125" s="13"/>
      <c r="R125" s="13"/>
      <c r="S125" s="13"/>
      <c r="T125" s="13"/>
      <c r="U125" s="13"/>
      <c r="V125" s="13"/>
      <c r="W125" s="13"/>
      <c r="X125" s="13"/>
      <c r="Y125" s="13"/>
      <c r="Z125" s="9"/>
      <c r="AB125" t="str">
        <f t="shared" si="10"/>
        <v/>
      </c>
      <c r="AC125">
        <f t="shared" si="11"/>
        <v>0</v>
      </c>
      <c r="AD125">
        <f t="shared" si="12"/>
        <v>0</v>
      </c>
      <c r="AE125" t="str">
        <f t="shared" si="13"/>
        <v/>
      </c>
      <c r="AF125" t="str">
        <f t="shared" si="14"/>
        <v/>
      </c>
      <c r="AG125">
        <f t="shared" si="15"/>
        <v>0</v>
      </c>
      <c r="AH125" t="str">
        <f t="shared" si="16"/>
        <v/>
      </c>
      <c r="AI125" t="str">
        <f t="shared" si="17"/>
        <v/>
      </c>
    </row>
    <row r="126" spans="1:35" x14ac:dyDescent="0.25">
      <c r="A126" s="9"/>
      <c r="B126" s="9"/>
      <c r="C126" s="9"/>
      <c r="D126" s="9"/>
      <c r="E126" s="9"/>
      <c r="F126" s="9"/>
      <c r="G126" s="9"/>
      <c r="H126" s="10"/>
      <c r="I126" s="10"/>
      <c r="J126" s="9"/>
      <c r="K126" s="11"/>
      <c r="L126" s="11"/>
      <c r="M126" s="12" t="str">
        <f t="shared" si="9"/>
        <v/>
      </c>
      <c r="N126" s="13"/>
      <c r="O126" s="13"/>
      <c r="P126" s="13"/>
      <c r="Q126" s="13"/>
      <c r="R126" s="13"/>
      <c r="S126" s="13"/>
      <c r="T126" s="13"/>
      <c r="U126" s="13"/>
      <c r="V126" s="13"/>
      <c r="W126" s="13"/>
      <c r="X126" s="13"/>
      <c r="Y126" s="13"/>
      <c r="Z126" s="9"/>
      <c r="AB126" t="str">
        <f t="shared" si="10"/>
        <v/>
      </c>
      <c r="AC126">
        <f t="shared" si="11"/>
        <v>0</v>
      </c>
      <c r="AD126">
        <f t="shared" si="12"/>
        <v>0</v>
      </c>
      <c r="AE126" t="str">
        <f t="shared" si="13"/>
        <v/>
      </c>
      <c r="AF126" t="str">
        <f t="shared" si="14"/>
        <v/>
      </c>
      <c r="AG126">
        <f t="shared" si="15"/>
        <v>0</v>
      </c>
      <c r="AH126" t="str">
        <f t="shared" si="16"/>
        <v/>
      </c>
      <c r="AI126" t="str">
        <f t="shared" si="17"/>
        <v/>
      </c>
    </row>
    <row r="127" spans="1:35" x14ac:dyDescent="0.25">
      <c r="A127" s="9"/>
      <c r="B127" s="9"/>
      <c r="C127" s="9"/>
      <c r="D127" s="9"/>
      <c r="E127" s="9"/>
      <c r="F127" s="9"/>
      <c r="G127" s="9"/>
      <c r="H127" s="10"/>
      <c r="I127" s="10"/>
      <c r="J127" s="9"/>
      <c r="K127" s="11"/>
      <c r="L127" s="11"/>
      <c r="M127" s="12" t="str">
        <f t="shared" si="9"/>
        <v/>
      </c>
      <c r="N127" s="13"/>
      <c r="O127" s="13"/>
      <c r="P127" s="13"/>
      <c r="Q127" s="13"/>
      <c r="R127" s="13"/>
      <c r="S127" s="13"/>
      <c r="T127" s="13"/>
      <c r="U127" s="13"/>
      <c r="V127" s="13"/>
      <c r="W127" s="13"/>
      <c r="X127" s="13"/>
      <c r="Y127" s="13"/>
      <c r="Z127" s="9"/>
      <c r="AB127" t="str">
        <f t="shared" si="10"/>
        <v/>
      </c>
      <c r="AC127">
        <f t="shared" si="11"/>
        <v>0</v>
      </c>
      <c r="AD127">
        <f t="shared" si="12"/>
        <v>0</v>
      </c>
      <c r="AE127" t="str">
        <f t="shared" si="13"/>
        <v/>
      </c>
      <c r="AF127" t="str">
        <f t="shared" si="14"/>
        <v/>
      </c>
      <c r="AG127">
        <f t="shared" si="15"/>
        <v>0</v>
      </c>
      <c r="AH127" t="str">
        <f t="shared" si="16"/>
        <v/>
      </c>
      <c r="AI127" t="str">
        <f t="shared" si="17"/>
        <v/>
      </c>
    </row>
    <row r="128" spans="1:35" x14ac:dyDescent="0.25">
      <c r="A128" s="9"/>
      <c r="B128" s="9"/>
      <c r="C128" s="9"/>
      <c r="D128" s="9"/>
      <c r="E128" s="9"/>
      <c r="F128" s="9"/>
      <c r="G128" s="9"/>
      <c r="H128" s="10"/>
      <c r="I128" s="10"/>
      <c r="J128" s="9"/>
      <c r="K128" s="11"/>
      <c r="L128" s="11"/>
      <c r="M128" s="12" t="str">
        <f t="shared" si="9"/>
        <v/>
      </c>
      <c r="N128" s="13"/>
      <c r="O128" s="13"/>
      <c r="P128" s="13"/>
      <c r="Q128" s="13"/>
      <c r="R128" s="13"/>
      <c r="S128" s="13"/>
      <c r="T128" s="13"/>
      <c r="U128" s="13"/>
      <c r="V128" s="13"/>
      <c r="W128" s="13"/>
      <c r="X128" s="13"/>
      <c r="Y128" s="13"/>
      <c r="Z128" s="9"/>
      <c r="AB128" t="str">
        <f t="shared" si="10"/>
        <v/>
      </c>
      <c r="AC128">
        <f t="shared" si="11"/>
        <v>0</v>
      </c>
      <c r="AD128">
        <f t="shared" si="12"/>
        <v>0</v>
      </c>
      <c r="AE128" t="str">
        <f t="shared" si="13"/>
        <v/>
      </c>
      <c r="AF128" t="str">
        <f t="shared" si="14"/>
        <v/>
      </c>
      <c r="AG128">
        <f t="shared" si="15"/>
        <v>0</v>
      </c>
      <c r="AH128" t="str">
        <f t="shared" si="16"/>
        <v/>
      </c>
      <c r="AI128" t="str">
        <f t="shared" si="17"/>
        <v/>
      </c>
    </row>
    <row r="129" spans="1:35" x14ac:dyDescent="0.25">
      <c r="A129" s="9"/>
      <c r="B129" s="9"/>
      <c r="C129" s="9"/>
      <c r="D129" s="9"/>
      <c r="E129" s="9"/>
      <c r="F129" s="9"/>
      <c r="G129" s="9"/>
      <c r="H129" s="10"/>
      <c r="I129" s="10"/>
      <c r="J129" s="9"/>
      <c r="K129" s="11"/>
      <c r="L129" s="11"/>
      <c r="M129" s="12" t="str">
        <f t="shared" si="9"/>
        <v/>
      </c>
      <c r="N129" s="13"/>
      <c r="O129" s="13"/>
      <c r="P129" s="13"/>
      <c r="Q129" s="13"/>
      <c r="R129" s="13"/>
      <c r="S129" s="13"/>
      <c r="T129" s="13"/>
      <c r="U129" s="13"/>
      <c r="V129" s="13"/>
      <c r="W129" s="13"/>
      <c r="X129" s="13"/>
      <c r="Y129" s="13"/>
      <c r="Z129" s="9"/>
      <c r="AB129" t="str">
        <f t="shared" si="10"/>
        <v/>
      </c>
      <c r="AC129">
        <f t="shared" si="11"/>
        <v>0</v>
      </c>
      <c r="AD129">
        <f t="shared" si="12"/>
        <v>0</v>
      </c>
      <c r="AE129" t="str">
        <f t="shared" si="13"/>
        <v/>
      </c>
      <c r="AF129" t="str">
        <f t="shared" si="14"/>
        <v/>
      </c>
      <c r="AG129">
        <f t="shared" si="15"/>
        <v>0</v>
      </c>
      <c r="AH129" t="str">
        <f t="shared" si="16"/>
        <v/>
      </c>
      <c r="AI129" t="str">
        <f t="shared" si="17"/>
        <v/>
      </c>
    </row>
    <row r="130" spans="1:35" x14ac:dyDescent="0.25">
      <c r="A130" s="9"/>
      <c r="B130" s="9"/>
      <c r="C130" s="9"/>
      <c r="D130" s="9"/>
      <c r="E130" s="9"/>
      <c r="F130" s="9"/>
      <c r="G130" s="9"/>
      <c r="H130" s="10"/>
      <c r="I130" s="10"/>
      <c r="J130" s="9"/>
      <c r="K130" s="11"/>
      <c r="L130" s="11"/>
      <c r="M130" s="12" t="str">
        <f t="shared" si="9"/>
        <v/>
      </c>
      <c r="N130" s="13"/>
      <c r="O130" s="13"/>
      <c r="P130" s="13"/>
      <c r="Q130" s="13"/>
      <c r="R130" s="13"/>
      <c r="S130" s="13"/>
      <c r="T130" s="13"/>
      <c r="U130" s="13"/>
      <c r="V130" s="13"/>
      <c r="W130" s="13"/>
      <c r="X130" s="13"/>
      <c r="Y130" s="13"/>
      <c r="Z130" s="9"/>
      <c r="AB130" t="str">
        <f t="shared" si="10"/>
        <v/>
      </c>
      <c r="AC130">
        <f t="shared" si="11"/>
        <v>0</v>
      </c>
      <c r="AD130">
        <f t="shared" si="12"/>
        <v>0</v>
      </c>
      <c r="AE130" t="str">
        <f t="shared" si="13"/>
        <v/>
      </c>
      <c r="AF130" t="str">
        <f t="shared" si="14"/>
        <v/>
      </c>
      <c r="AG130">
        <f t="shared" si="15"/>
        <v>0</v>
      </c>
      <c r="AH130" t="str">
        <f t="shared" si="16"/>
        <v/>
      </c>
      <c r="AI130" t="str">
        <f t="shared" si="17"/>
        <v/>
      </c>
    </row>
    <row r="131" spans="1:35" x14ac:dyDescent="0.25">
      <c r="A131" s="9"/>
      <c r="B131" s="9"/>
      <c r="C131" s="9"/>
      <c r="D131" s="9"/>
      <c r="E131" s="9"/>
      <c r="F131" s="9"/>
      <c r="G131" s="9"/>
      <c r="H131" s="10"/>
      <c r="I131" s="10"/>
      <c r="J131" s="9"/>
      <c r="K131" s="11"/>
      <c r="L131" s="11"/>
      <c r="M131" s="12" t="str">
        <f t="shared" si="9"/>
        <v/>
      </c>
      <c r="N131" s="13"/>
      <c r="O131" s="13"/>
      <c r="P131" s="13"/>
      <c r="Q131" s="13"/>
      <c r="R131" s="13"/>
      <c r="S131" s="13"/>
      <c r="T131" s="13"/>
      <c r="U131" s="13"/>
      <c r="V131" s="13"/>
      <c r="W131" s="13"/>
      <c r="X131" s="13"/>
      <c r="Y131" s="13"/>
      <c r="Z131" s="9"/>
      <c r="AB131" t="str">
        <f t="shared" si="10"/>
        <v/>
      </c>
      <c r="AC131">
        <f t="shared" si="11"/>
        <v>0</v>
      </c>
      <c r="AD131">
        <f t="shared" si="12"/>
        <v>0</v>
      </c>
      <c r="AE131" t="str">
        <f t="shared" si="13"/>
        <v/>
      </c>
      <c r="AF131" t="str">
        <f t="shared" si="14"/>
        <v/>
      </c>
      <c r="AG131">
        <f t="shared" si="15"/>
        <v>0</v>
      </c>
      <c r="AH131" t="str">
        <f t="shared" si="16"/>
        <v/>
      </c>
      <c r="AI131" t="str">
        <f t="shared" si="17"/>
        <v/>
      </c>
    </row>
    <row r="132" spans="1:35" x14ac:dyDescent="0.25">
      <c r="A132" s="9"/>
      <c r="B132" s="9"/>
      <c r="C132" s="9"/>
      <c r="D132" s="9"/>
      <c r="E132" s="9"/>
      <c r="F132" s="9"/>
      <c r="G132" s="9"/>
      <c r="H132" s="10"/>
      <c r="I132" s="10"/>
      <c r="J132" s="9"/>
      <c r="K132" s="11"/>
      <c r="L132" s="11"/>
      <c r="M132" s="12" t="str">
        <f t="shared" si="9"/>
        <v/>
      </c>
      <c r="N132" s="13"/>
      <c r="O132" s="13"/>
      <c r="P132" s="13"/>
      <c r="Q132" s="13"/>
      <c r="R132" s="13"/>
      <c r="S132" s="13"/>
      <c r="T132" s="13"/>
      <c r="U132" s="13"/>
      <c r="V132" s="13"/>
      <c r="W132" s="13"/>
      <c r="X132" s="13"/>
      <c r="Y132" s="13"/>
      <c r="Z132" s="9"/>
      <c r="AB132" t="str">
        <f t="shared" si="10"/>
        <v/>
      </c>
      <c r="AC132">
        <f t="shared" si="11"/>
        <v>0</v>
      </c>
      <c r="AD132">
        <f t="shared" si="12"/>
        <v>0</v>
      </c>
      <c r="AE132" t="str">
        <f t="shared" si="13"/>
        <v/>
      </c>
      <c r="AF132" t="str">
        <f t="shared" si="14"/>
        <v/>
      </c>
      <c r="AG132">
        <f t="shared" si="15"/>
        <v>0</v>
      </c>
      <c r="AH132" t="str">
        <f t="shared" si="16"/>
        <v/>
      </c>
      <c r="AI132" t="str">
        <f t="shared" si="17"/>
        <v/>
      </c>
    </row>
    <row r="133" spans="1:35" x14ac:dyDescent="0.25">
      <c r="A133" s="9"/>
      <c r="B133" s="9"/>
      <c r="C133" s="9"/>
      <c r="D133" s="9"/>
      <c r="E133" s="9"/>
      <c r="F133" s="9"/>
      <c r="G133" s="9"/>
      <c r="H133" s="10"/>
      <c r="I133" s="10"/>
      <c r="J133" s="9"/>
      <c r="K133" s="11"/>
      <c r="L133" s="11"/>
      <c r="M133" s="12" t="str">
        <f t="shared" si="9"/>
        <v/>
      </c>
      <c r="N133" s="13"/>
      <c r="O133" s="13"/>
      <c r="P133" s="13"/>
      <c r="Q133" s="13"/>
      <c r="R133" s="13"/>
      <c r="S133" s="13"/>
      <c r="T133" s="13"/>
      <c r="U133" s="13"/>
      <c r="V133" s="13"/>
      <c r="W133" s="13"/>
      <c r="X133" s="13"/>
      <c r="Y133" s="13"/>
      <c r="Z133" s="9"/>
      <c r="AB133" t="str">
        <f t="shared" si="10"/>
        <v/>
      </c>
      <c r="AC133">
        <f t="shared" si="11"/>
        <v>0</v>
      </c>
      <c r="AD133">
        <f t="shared" si="12"/>
        <v>0</v>
      </c>
      <c r="AE133" t="str">
        <f t="shared" si="13"/>
        <v/>
      </c>
      <c r="AF133" t="str">
        <f t="shared" si="14"/>
        <v/>
      </c>
      <c r="AG133">
        <f t="shared" si="15"/>
        <v>0</v>
      </c>
      <c r="AH133" t="str">
        <f t="shared" si="16"/>
        <v/>
      </c>
      <c r="AI133" t="str">
        <f t="shared" si="17"/>
        <v/>
      </c>
    </row>
    <row r="134" spans="1:35" x14ac:dyDescent="0.25">
      <c r="A134" s="9"/>
      <c r="B134" s="9"/>
      <c r="C134" s="9"/>
      <c r="D134" s="9"/>
      <c r="E134" s="9"/>
      <c r="F134" s="9"/>
      <c r="G134" s="9"/>
      <c r="H134" s="10"/>
      <c r="I134" s="10"/>
      <c r="J134" s="9"/>
      <c r="K134" s="11"/>
      <c r="L134" s="11"/>
      <c r="M134" s="12" t="str">
        <f t="shared" si="9"/>
        <v/>
      </c>
      <c r="N134" s="13"/>
      <c r="O134" s="13"/>
      <c r="P134" s="13"/>
      <c r="Q134" s="13"/>
      <c r="R134" s="13"/>
      <c r="S134" s="13"/>
      <c r="T134" s="13"/>
      <c r="U134" s="13"/>
      <c r="V134" s="13"/>
      <c r="W134" s="13"/>
      <c r="X134" s="13"/>
      <c r="Y134" s="13"/>
      <c r="Z134" s="9"/>
      <c r="AB134" t="str">
        <f t="shared" si="10"/>
        <v/>
      </c>
      <c r="AC134">
        <f t="shared" si="11"/>
        <v>0</v>
      </c>
      <c r="AD134">
        <f t="shared" si="12"/>
        <v>0</v>
      </c>
      <c r="AE134" t="str">
        <f t="shared" si="13"/>
        <v/>
      </c>
      <c r="AF134" t="str">
        <f t="shared" si="14"/>
        <v/>
      </c>
      <c r="AG134">
        <f t="shared" si="15"/>
        <v>0</v>
      </c>
      <c r="AH134" t="str">
        <f t="shared" si="16"/>
        <v/>
      </c>
      <c r="AI134" t="str">
        <f t="shared" si="17"/>
        <v/>
      </c>
    </row>
    <row r="135" spans="1:35" x14ac:dyDescent="0.25">
      <c r="A135" s="9"/>
      <c r="B135" s="9"/>
      <c r="C135" s="9"/>
      <c r="D135" s="9"/>
      <c r="E135" s="9"/>
      <c r="F135" s="9"/>
      <c r="G135" s="9"/>
      <c r="H135" s="10"/>
      <c r="I135" s="10"/>
      <c r="J135" s="9"/>
      <c r="K135" s="11"/>
      <c r="L135" s="11"/>
      <c r="M135" s="12" t="str">
        <f t="shared" si="9"/>
        <v/>
      </c>
      <c r="N135" s="13"/>
      <c r="O135" s="13"/>
      <c r="P135" s="13"/>
      <c r="Q135" s="13"/>
      <c r="R135" s="13"/>
      <c r="S135" s="13"/>
      <c r="T135" s="13"/>
      <c r="U135" s="13"/>
      <c r="V135" s="13"/>
      <c r="W135" s="13"/>
      <c r="X135" s="13"/>
      <c r="Y135" s="13"/>
      <c r="Z135" s="9"/>
      <c r="AB135" t="str">
        <f t="shared" si="10"/>
        <v/>
      </c>
      <c r="AC135">
        <f t="shared" si="11"/>
        <v>0</v>
      </c>
      <c r="AD135">
        <f t="shared" si="12"/>
        <v>0</v>
      </c>
      <c r="AE135" t="str">
        <f t="shared" si="13"/>
        <v/>
      </c>
      <c r="AF135" t="str">
        <f t="shared" si="14"/>
        <v/>
      </c>
      <c r="AG135">
        <f t="shared" si="15"/>
        <v>0</v>
      </c>
      <c r="AH135" t="str">
        <f t="shared" si="16"/>
        <v/>
      </c>
      <c r="AI135" t="str">
        <f t="shared" si="17"/>
        <v/>
      </c>
    </row>
    <row r="136" spans="1:35" x14ac:dyDescent="0.25">
      <c r="A136" s="9"/>
      <c r="B136" s="9"/>
      <c r="C136" s="9"/>
      <c r="D136" s="9"/>
      <c r="E136" s="9"/>
      <c r="F136" s="9"/>
      <c r="G136" s="9"/>
      <c r="H136" s="10"/>
      <c r="I136" s="10"/>
      <c r="J136" s="9"/>
      <c r="K136" s="11"/>
      <c r="L136" s="11"/>
      <c r="M136" s="12" t="str">
        <f t="shared" si="9"/>
        <v/>
      </c>
      <c r="N136" s="13"/>
      <c r="O136" s="13"/>
      <c r="P136" s="13"/>
      <c r="Q136" s="13"/>
      <c r="R136" s="13"/>
      <c r="S136" s="13"/>
      <c r="T136" s="13"/>
      <c r="U136" s="13"/>
      <c r="V136" s="13"/>
      <c r="W136" s="13"/>
      <c r="X136" s="13"/>
      <c r="Y136" s="13"/>
      <c r="Z136" s="9"/>
      <c r="AB136" t="str">
        <f t="shared" si="10"/>
        <v/>
      </c>
      <c r="AC136">
        <f t="shared" si="11"/>
        <v>0</v>
      </c>
      <c r="AD136">
        <f t="shared" si="12"/>
        <v>0</v>
      </c>
      <c r="AE136" t="str">
        <f t="shared" si="13"/>
        <v/>
      </c>
      <c r="AF136" t="str">
        <f t="shared" si="14"/>
        <v/>
      </c>
      <c r="AG136">
        <f t="shared" si="15"/>
        <v>0</v>
      </c>
      <c r="AH136" t="str">
        <f t="shared" si="16"/>
        <v/>
      </c>
      <c r="AI136" t="str">
        <f t="shared" si="17"/>
        <v/>
      </c>
    </row>
    <row r="137" spans="1:35" x14ac:dyDescent="0.25">
      <c r="A137" s="9"/>
      <c r="B137" s="9"/>
      <c r="C137" s="9"/>
      <c r="D137" s="9"/>
      <c r="E137" s="9"/>
      <c r="F137" s="9"/>
      <c r="G137" s="9"/>
      <c r="H137" s="10"/>
      <c r="I137" s="10"/>
      <c r="J137" s="9"/>
      <c r="K137" s="11"/>
      <c r="L137" s="11"/>
      <c r="M137" s="12" t="str">
        <f t="shared" si="9"/>
        <v/>
      </c>
      <c r="N137" s="13"/>
      <c r="O137" s="13"/>
      <c r="P137" s="13"/>
      <c r="Q137" s="13"/>
      <c r="R137" s="13"/>
      <c r="S137" s="13"/>
      <c r="T137" s="13"/>
      <c r="U137" s="13"/>
      <c r="V137" s="13"/>
      <c r="W137" s="13"/>
      <c r="X137" s="13"/>
      <c r="Y137" s="13"/>
      <c r="Z137" s="9"/>
      <c r="AB137" t="str">
        <f t="shared" si="10"/>
        <v/>
      </c>
      <c r="AC137">
        <f t="shared" si="11"/>
        <v>0</v>
      </c>
      <c r="AD137">
        <f t="shared" si="12"/>
        <v>0</v>
      </c>
      <c r="AE137" t="str">
        <f t="shared" si="13"/>
        <v/>
      </c>
      <c r="AF137" t="str">
        <f t="shared" si="14"/>
        <v/>
      </c>
      <c r="AG137">
        <f t="shared" si="15"/>
        <v>0</v>
      </c>
      <c r="AH137" t="str">
        <f t="shared" si="16"/>
        <v/>
      </c>
      <c r="AI137" t="str">
        <f t="shared" si="17"/>
        <v/>
      </c>
    </row>
    <row r="138" spans="1:35" x14ac:dyDescent="0.25">
      <c r="A138" s="9"/>
      <c r="B138" s="9"/>
      <c r="C138" s="9"/>
      <c r="D138" s="9"/>
      <c r="E138" s="9"/>
      <c r="F138" s="9"/>
      <c r="G138" s="9"/>
      <c r="H138" s="10"/>
      <c r="I138" s="10"/>
      <c r="J138" s="9"/>
      <c r="K138" s="11"/>
      <c r="L138" s="11"/>
      <c r="M138" s="12" t="str">
        <f t="shared" si="9"/>
        <v/>
      </c>
      <c r="N138" s="13"/>
      <c r="O138" s="13"/>
      <c r="P138" s="13"/>
      <c r="Q138" s="13"/>
      <c r="R138" s="13"/>
      <c r="S138" s="13"/>
      <c r="T138" s="13"/>
      <c r="U138" s="13"/>
      <c r="V138" s="13"/>
      <c r="W138" s="13"/>
      <c r="X138" s="13"/>
      <c r="Y138" s="13"/>
      <c r="Z138" s="9"/>
      <c r="AB138" t="str">
        <f t="shared" si="10"/>
        <v/>
      </c>
      <c r="AC138">
        <f t="shared" si="11"/>
        <v>0</v>
      </c>
      <c r="AD138">
        <f t="shared" si="12"/>
        <v>0</v>
      </c>
      <c r="AE138" t="str">
        <f t="shared" si="13"/>
        <v/>
      </c>
      <c r="AF138" t="str">
        <f t="shared" si="14"/>
        <v/>
      </c>
      <c r="AG138">
        <f t="shared" si="15"/>
        <v>0</v>
      </c>
      <c r="AH138" t="str">
        <f t="shared" si="16"/>
        <v/>
      </c>
      <c r="AI138" t="str">
        <f t="shared" si="17"/>
        <v/>
      </c>
    </row>
    <row r="139" spans="1:35" x14ac:dyDescent="0.25">
      <c r="A139" s="9"/>
      <c r="B139" s="9"/>
      <c r="C139" s="9"/>
      <c r="D139" s="9"/>
      <c r="E139" s="9"/>
      <c r="F139" s="9"/>
      <c r="G139" s="9"/>
      <c r="H139" s="10"/>
      <c r="I139" s="10"/>
      <c r="J139" s="9"/>
      <c r="K139" s="11"/>
      <c r="L139" s="11"/>
      <c r="M139" s="12" t="str">
        <f t="shared" ref="M139:M202" si="18">IF(AB139="","",IF(AE139&lt;&gt;"","⚠ "&amp;AE139,"✔ "&amp;AI139&amp;IF(AG139&gt;0," · ⚠ "&amp;AG139&amp;IF(AG139=1," fecha cae"," fechas caen")&amp;" en festivo"&amp;IF(OR(AB139="Un día",AB139="Fechas específicas"),": revise la fecha",": se pasará al día hábil siguiente"),"")))</f>
        <v/>
      </c>
      <c r="N139" s="13"/>
      <c r="O139" s="13"/>
      <c r="P139" s="13"/>
      <c r="Q139" s="13"/>
      <c r="R139" s="13"/>
      <c r="S139" s="13"/>
      <c r="T139" s="13"/>
      <c r="U139" s="13"/>
      <c r="V139" s="13"/>
      <c r="W139" s="13"/>
      <c r="X139" s="13"/>
      <c r="Y139" s="13"/>
      <c r="Z139" s="9"/>
      <c r="AB139" t="str">
        <f t="shared" ref="AB139:AB202" si="19">IF(COUNTA(A139:L139,N139:Y139)=0,"",IF(OR(J139="En fechas específicas",AND(OR(J139="",J139="No"),K139="",COUNT(N139:Y139)&gt;0)),"Fechas específicas",IF(OR(J139="",J139="No"),IF(OR(L139="",L139=K139),"Un día","Varios días"),J139)))</f>
        <v/>
      </c>
      <c r="AC139">
        <f t="shared" ref="AC139:AC202" si="20">IF(AB139="Cada mes",1,IF(AB139="Cada 2 meses",2,IF(AB139="Cada 3 meses",3,IF(AB139="Cada 6 meses",6,0))))</f>
        <v>0</v>
      </c>
      <c r="AD139">
        <f t="shared" ref="AD139:AD202" si="21">IF(ISNUMBER(K139),INT((DAY(K139)-1)/7)+1,0)</f>
        <v>0</v>
      </c>
      <c r="AE139" t="str">
        <f t="shared" ref="AE139:AE202" si="22">IF(AB139="","",IF(A139="","Falta el nombre de la actividad",IF(B139="","Falta la categoría",IF(COUNTIF(Lista_Categoria,B139)=0,"Elija la categoría de la lista",IF(AND(F139="",_xlfn.SINGLE(SedePrincipal)=""),"Falta la sede: elíjala aquí o en «Datos del área»",IF(AND(F139&lt;&gt;"",COUNTIF(Lista_Sede,F139)=0),"Elija la sede de la lista",IF(AND(E139="",_xlfn.SINGLE(CalendarioPrincipal)=""),"Falta el calendario (Académico o Administrativo): elíjalo aquí o en «Datos del área»",IF(AND(E139&lt;&gt;"",COUNTIF(Lista_Calendario,E139)=0),"Elija el calendario de la lista",IF(G139="","Falta el lugar",IF(OR(AND(H139&lt;&gt;"",NOT(ISNUMBER(H139))),AND(I139&lt;&gt;"",NOT(ISNUMBER(I139)))),"Hora no válida: use hh:mm (ej. 14:30)",IF(AND(ISNUMBER(H139),ISNUMBER(I139),I139&lt;H139),"La hora fin es antes de la hora inicio",IF(AND(J139&lt;&gt;"",COUNTIF(Lista_Repite,J139)=0),"Elija una opción de la lista «¿Se repite?»",IF(AB139="Fechas específicas",IF(COUNTA(N139:Y139)&lt;&gt;COUNT(N139:Y139),"Alguna fecha de Fecha 1 a Fecha 12 no es válida: use dd/mm/aaaa",IF(COUNT(N139:Y139)=0,"Escriba las fechas en Fecha 1, Fecha 2…","")),IF(COUNTA(N139:Y139)&gt;0,"Escribió fechas en Fecha 1…12: elija «En fechas específicas» o bórrelas",IF(K139="","Falta la fecha en «Desde»",IF(NOT(ISNUMBER(K139)),"La fecha «Desde» no es válida: use dd/mm/aaaa",IF(AND(L139&lt;&gt;"",NOT(ISNUMBER(L139))),"La fecha «Hasta» no es válida: use dd/mm/aaaa",IF(AND(ISNUMBER(L139),L139&lt;K139),"«Hasta» es antes de «Desde»",IF(AND(AB139&lt;&gt;"Un día",AB139&lt;&gt;"Varios días",L139=""),"Falta «Hasta»: la última fecha en que se repite",IF(AND(ISNUMBER(L139),L139-K139&gt;730),"El periodo no puede pasar de 2 años",""))))))))))))))))))))</f>
        <v/>
      </c>
      <c r="AF139" t="str">
        <f t="shared" ref="AF139:AF202" si="23">IF(OR(AB139="",AE139&lt;&gt;""),"",IF(AB139="Fechas específicas",COUNT(N139:Y139),IF(OR(AB139="Un día",AB139="Varios días"),1,SUMPRODUCT((Dias&lt;=L139-K139)*((AB139="Cada semana")*(MOD(Dias,7)=0)+(AB139="Cada 15 días")*(MOD(Dias,14)=0)+(AC139&gt;0)*(WEEKDAY(K139+Dias)=WEEKDAY(K139))*((AD139=5)*(MONTH(K139+Dias+7)&lt;&gt;MONTH(K139+Dias))+(AD139&lt;5)*(INT((DAY(K139+Dias)-1)/7)+1=AD139))*(MOD((YEAR(K139+Dias)-YEAR(K139))*12+MONTH(K139+Dias)-MONTH(K139),MAX(AC139,1))=0))))))</f>
        <v/>
      </c>
      <c r="AG139">
        <f t="shared" ref="AG139:AG202" si="24">IF(AF139="",0,IF(AB139="Fechas específicas",SUMPRODUCT(COUNTIF(Festivos,N139:Y139)),IF(AB139="Un día",COUNTIF(Festivos,K139),IF(AB139="Varios días",0,SUMPRODUCT((Dias&lt;=L139-K139)*((AB139="Cada semana")*(MOD(Dias,7)=0)+(AB139="Cada 15 días")*(MOD(Dias,14)=0)+(AC139&gt;0)*(WEEKDAY(K139+Dias)=WEEKDAY(K139))*((AD139=5)*(MONTH(K139+Dias+7)&lt;&gt;MONTH(K139+Dias))+(AD139&lt;5)*(INT((DAY(K139+Dias)-1)/7)+1=AD139))*(MOD((YEAR(K139+Dias)-YEAR(K139))*12+MONTH(K139+Dias)-MONTH(K139),MAX(AC139,1))=0))*COUNTIF(Festivos,K139+Dias))))))</f>
        <v>0</v>
      </c>
      <c r="AH139" t="str">
        <f t="shared" ref="AH139:AH202" si="25">IF(AB139&lt;&gt;"Fechas específicas","",IF(ISNUMBER(N139),DAY(N139)&amp;" "&amp;CHOOSE(MONTH(N139),"ene","feb","mar","abr","may","jun","jul","ago","sep","oct","nov","dic")&amp;", ","")&amp;IF(ISNUMBER(O139),DAY(O139)&amp;" "&amp;CHOOSE(MONTH(O139),"ene","feb","mar","abr","may","jun","jul","ago","sep","oct","nov","dic")&amp;", ","")&amp;IF(ISNUMBER(P139),DAY(P139)&amp;" "&amp;CHOOSE(MONTH(P139),"ene","feb","mar","abr","may","jun","jul","ago","sep","oct","nov","dic")&amp;", ","")&amp;IF(ISNUMBER(Q139),DAY(Q139)&amp;" "&amp;CHOOSE(MONTH(Q139),"ene","feb","mar","abr","may","jun","jul","ago","sep","oct","nov","dic")&amp;", ","")&amp;IF(ISNUMBER(R139),DAY(R139)&amp;" "&amp;CHOOSE(MONTH(R139),"ene","feb","mar","abr","may","jun","jul","ago","sep","oct","nov","dic")&amp;", ","")&amp;IF(ISNUMBER(S139),DAY(S139)&amp;" "&amp;CHOOSE(MONTH(S139),"ene","feb","mar","abr","may","jun","jul","ago","sep","oct","nov","dic")&amp;", ","")&amp;IF(ISNUMBER(T139),DAY(T139)&amp;" "&amp;CHOOSE(MONTH(T139),"ene","feb","mar","abr","may","jun","jul","ago","sep","oct","nov","dic")&amp;", ","")&amp;IF(ISNUMBER(U139),DAY(U139)&amp;" "&amp;CHOOSE(MONTH(U139),"ene","feb","mar","abr","may","jun","jul","ago","sep","oct","nov","dic")&amp;", ","")&amp;IF(ISNUMBER(V139),DAY(V139)&amp;" "&amp;CHOOSE(MONTH(V139),"ene","feb","mar","abr","may","jun","jul","ago","sep","oct","nov","dic")&amp;", ","")&amp;IF(ISNUMBER(W139),DAY(W139)&amp;" "&amp;CHOOSE(MONTH(W139),"ene","feb","mar","abr","may","jun","jul","ago","sep","oct","nov","dic")&amp;", ","")&amp;IF(ISNUMBER(X139),DAY(X139)&amp;" "&amp;CHOOSE(MONTH(X139),"ene","feb","mar","abr","may","jun","jul","ago","sep","oct","nov","dic")&amp;", ","")&amp;IF(ISNUMBER(Y139),DAY(Y139)&amp;" "&amp;CHOOSE(MONTH(Y139),"ene","feb","mar","abr","may","jun","jul","ago","sep","oct","nov","dic")&amp;", ",""))</f>
        <v/>
      </c>
      <c r="AI139" t="str">
        <f t="shared" ref="AI139:AI202" si="26">IF(OR(AB139="",AE139&lt;&gt;""),"",IF(AB139="Un día","Un día: "&amp;CHOOSE(WEEKDAY(K139,2),"lunes","martes","miércoles","jueves","viernes","sábado","domingo")&amp;" "&amp;TEXT(DAY(K139),"00")&amp;"/"&amp;TEXT(MONTH(K139),"00")&amp;"/"&amp;YEAR(K139),IF(AB139="Varios días","Del "&amp;TEXT(DAY(K139),"00")&amp;"/"&amp;TEXT(MONTH(K139),"00")&amp;"/"&amp;YEAR(K139)&amp;" al "&amp;TEXT(DAY(L139),"00")&amp;"/"&amp;TEXT(MONTH(L139),"00")&amp;"/"&amp;YEAR(L139)&amp;" ("&amp;(L139-K139+1)&amp;" días)",IF(AB139="Fechas específicas",AF139&amp;IF(AF139=1," fecha: "," fechas: ")&amp;LEFT(AH139,LEN(AH139)-2),IF(AB139="Cada semana","Todos los "&amp;CHOOSE(WEEKDAY(K139,2),"lunes","martes","miércoles","jueves","viernes","sábados","domingos"),IF(AB139="Cada 15 días","Cada 15 días ("&amp;CHOOSE(WEEKDAY(K139,2),"lunes","martes","miércoles","jueves","viernes","sábados","domingos")&amp;" de por medio)",CHOOSE(AD139,"Primer","Segundo","Tercer","Cuarto","Último")&amp;" "&amp;CHOOSE(WEEKDAY(K139,2),"lunes","martes","miércoles","jueves","viernes","sábado","domingo")&amp;IF(AC139=1," de cada mes"," cada "&amp;AC139&amp;" meses")))&amp;", del "&amp;TEXT(DAY(K139),"00")&amp;"/"&amp;TEXT(MONTH(K139),"00")&amp;"/"&amp;YEAR(K139)&amp;" al "&amp;TEXT(DAY(L139),"00")&amp;"/"&amp;TEXT(MONTH(L139),"00")&amp;"/"&amp;YEAR(L139)&amp;" · "&amp;AF139&amp;IF(AF139=1," fecha"," fechas")))))</f>
        <v/>
      </c>
    </row>
    <row r="140" spans="1:35" x14ac:dyDescent="0.25">
      <c r="A140" s="9"/>
      <c r="B140" s="9"/>
      <c r="C140" s="9"/>
      <c r="D140" s="9"/>
      <c r="E140" s="9"/>
      <c r="F140" s="9"/>
      <c r="G140" s="9"/>
      <c r="H140" s="10"/>
      <c r="I140" s="10"/>
      <c r="J140" s="9"/>
      <c r="K140" s="11"/>
      <c r="L140" s="11"/>
      <c r="M140" s="12" t="str">
        <f t="shared" si="18"/>
        <v/>
      </c>
      <c r="N140" s="13"/>
      <c r="O140" s="13"/>
      <c r="P140" s="13"/>
      <c r="Q140" s="13"/>
      <c r="R140" s="13"/>
      <c r="S140" s="13"/>
      <c r="T140" s="13"/>
      <c r="U140" s="13"/>
      <c r="V140" s="13"/>
      <c r="W140" s="13"/>
      <c r="X140" s="13"/>
      <c r="Y140" s="13"/>
      <c r="Z140" s="9"/>
      <c r="AB140" t="str">
        <f t="shared" si="19"/>
        <v/>
      </c>
      <c r="AC140">
        <f t="shared" si="20"/>
        <v>0</v>
      </c>
      <c r="AD140">
        <f t="shared" si="21"/>
        <v>0</v>
      </c>
      <c r="AE140" t="str">
        <f t="shared" si="22"/>
        <v/>
      </c>
      <c r="AF140" t="str">
        <f t="shared" si="23"/>
        <v/>
      </c>
      <c r="AG140">
        <f t="shared" si="24"/>
        <v>0</v>
      </c>
      <c r="AH140" t="str">
        <f t="shared" si="25"/>
        <v/>
      </c>
      <c r="AI140" t="str">
        <f t="shared" si="26"/>
        <v/>
      </c>
    </row>
    <row r="141" spans="1:35" x14ac:dyDescent="0.25">
      <c r="A141" s="9"/>
      <c r="B141" s="9"/>
      <c r="C141" s="9"/>
      <c r="D141" s="9"/>
      <c r="E141" s="9"/>
      <c r="F141" s="9"/>
      <c r="G141" s="9"/>
      <c r="H141" s="10"/>
      <c r="I141" s="10"/>
      <c r="J141" s="9"/>
      <c r="K141" s="11"/>
      <c r="L141" s="11"/>
      <c r="M141" s="12" t="str">
        <f t="shared" si="18"/>
        <v/>
      </c>
      <c r="N141" s="13"/>
      <c r="O141" s="13"/>
      <c r="P141" s="13"/>
      <c r="Q141" s="13"/>
      <c r="R141" s="13"/>
      <c r="S141" s="13"/>
      <c r="T141" s="13"/>
      <c r="U141" s="13"/>
      <c r="V141" s="13"/>
      <c r="W141" s="13"/>
      <c r="X141" s="13"/>
      <c r="Y141" s="13"/>
      <c r="Z141" s="9"/>
      <c r="AB141" t="str">
        <f t="shared" si="19"/>
        <v/>
      </c>
      <c r="AC141">
        <f t="shared" si="20"/>
        <v>0</v>
      </c>
      <c r="AD141">
        <f t="shared" si="21"/>
        <v>0</v>
      </c>
      <c r="AE141" t="str">
        <f t="shared" si="22"/>
        <v/>
      </c>
      <c r="AF141" t="str">
        <f t="shared" si="23"/>
        <v/>
      </c>
      <c r="AG141">
        <f t="shared" si="24"/>
        <v>0</v>
      </c>
      <c r="AH141" t="str">
        <f t="shared" si="25"/>
        <v/>
      </c>
      <c r="AI141" t="str">
        <f t="shared" si="26"/>
        <v/>
      </c>
    </row>
    <row r="142" spans="1:35" x14ac:dyDescent="0.25">
      <c r="A142" s="9"/>
      <c r="B142" s="9"/>
      <c r="C142" s="9"/>
      <c r="D142" s="9"/>
      <c r="E142" s="9"/>
      <c r="F142" s="9"/>
      <c r="G142" s="9"/>
      <c r="H142" s="10"/>
      <c r="I142" s="10"/>
      <c r="J142" s="9"/>
      <c r="K142" s="11"/>
      <c r="L142" s="11"/>
      <c r="M142" s="12" t="str">
        <f t="shared" si="18"/>
        <v/>
      </c>
      <c r="N142" s="13"/>
      <c r="O142" s="13"/>
      <c r="P142" s="13"/>
      <c r="Q142" s="13"/>
      <c r="R142" s="13"/>
      <c r="S142" s="13"/>
      <c r="T142" s="13"/>
      <c r="U142" s="13"/>
      <c r="V142" s="13"/>
      <c r="W142" s="13"/>
      <c r="X142" s="13"/>
      <c r="Y142" s="13"/>
      <c r="Z142" s="9"/>
      <c r="AB142" t="str">
        <f t="shared" si="19"/>
        <v/>
      </c>
      <c r="AC142">
        <f t="shared" si="20"/>
        <v>0</v>
      </c>
      <c r="AD142">
        <f t="shared" si="21"/>
        <v>0</v>
      </c>
      <c r="AE142" t="str">
        <f t="shared" si="22"/>
        <v/>
      </c>
      <c r="AF142" t="str">
        <f t="shared" si="23"/>
        <v/>
      </c>
      <c r="AG142">
        <f t="shared" si="24"/>
        <v>0</v>
      </c>
      <c r="AH142" t="str">
        <f t="shared" si="25"/>
        <v/>
      </c>
      <c r="AI142" t="str">
        <f t="shared" si="26"/>
        <v/>
      </c>
    </row>
    <row r="143" spans="1:35" x14ac:dyDescent="0.25">
      <c r="A143" s="9"/>
      <c r="B143" s="9"/>
      <c r="C143" s="9"/>
      <c r="D143" s="9"/>
      <c r="E143" s="9"/>
      <c r="F143" s="9"/>
      <c r="G143" s="9"/>
      <c r="H143" s="10"/>
      <c r="I143" s="10"/>
      <c r="J143" s="9"/>
      <c r="K143" s="11"/>
      <c r="L143" s="11"/>
      <c r="M143" s="12" t="str">
        <f t="shared" si="18"/>
        <v/>
      </c>
      <c r="N143" s="13"/>
      <c r="O143" s="13"/>
      <c r="P143" s="13"/>
      <c r="Q143" s="13"/>
      <c r="R143" s="13"/>
      <c r="S143" s="13"/>
      <c r="T143" s="13"/>
      <c r="U143" s="13"/>
      <c r="V143" s="13"/>
      <c r="W143" s="13"/>
      <c r="X143" s="13"/>
      <c r="Y143" s="13"/>
      <c r="Z143" s="9"/>
      <c r="AB143" t="str">
        <f t="shared" si="19"/>
        <v/>
      </c>
      <c r="AC143">
        <f t="shared" si="20"/>
        <v>0</v>
      </c>
      <c r="AD143">
        <f t="shared" si="21"/>
        <v>0</v>
      </c>
      <c r="AE143" t="str">
        <f t="shared" si="22"/>
        <v/>
      </c>
      <c r="AF143" t="str">
        <f t="shared" si="23"/>
        <v/>
      </c>
      <c r="AG143">
        <f t="shared" si="24"/>
        <v>0</v>
      </c>
      <c r="AH143" t="str">
        <f t="shared" si="25"/>
        <v/>
      </c>
      <c r="AI143" t="str">
        <f t="shared" si="26"/>
        <v/>
      </c>
    </row>
    <row r="144" spans="1:35" x14ac:dyDescent="0.25">
      <c r="A144" s="9"/>
      <c r="B144" s="9"/>
      <c r="C144" s="9"/>
      <c r="D144" s="9"/>
      <c r="E144" s="9"/>
      <c r="F144" s="9"/>
      <c r="G144" s="9"/>
      <c r="H144" s="10"/>
      <c r="I144" s="10"/>
      <c r="J144" s="9"/>
      <c r="K144" s="11"/>
      <c r="L144" s="11"/>
      <c r="M144" s="12" t="str">
        <f t="shared" si="18"/>
        <v/>
      </c>
      <c r="N144" s="13"/>
      <c r="O144" s="13"/>
      <c r="P144" s="13"/>
      <c r="Q144" s="13"/>
      <c r="R144" s="13"/>
      <c r="S144" s="13"/>
      <c r="T144" s="13"/>
      <c r="U144" s="13"/>
      <c r="V144" s="13"/>
      <c r="W144" s="13"/>
      <c r="X144" s="13"/>
      <c r="Y144" s="13"/>
      <c r="Z144" s="9"/>
      <c r="AB144" t="str">
        <f t="shared" si="19"/>
        <v/>
      </c>
      <c r="AC144">
        <f t="shared" si="20"/>
        <v>0</v>
      </c>
      <c r="AD144">
        <f t="shared" si="21"/>
        <v>0</v>
      </c>
      <c r="AE144" t="str">
        <f t="shared" si="22"/>
        <v/>
      </c>
      <c r="AF144" t="str">
        <f t="shared" si="23"/>
        <v/>
      </c>
      <c r="AG144">
        <f t="shared" si="24"/>
        <v>0</v>
      </c>
      <c r="AH144" t="str">
        <f t="shared" si="25"/>
        <v/>
      </c>
      <c r="AI144" t="str">
        <f t="shared" si="26"/>
        <v/>
      </c>
    </row>
    <row r="145" spans="1:35" x14ac:dyDescent="0.25">
      <c r="A145" s="9"/>
      <c r="B145" s="9"/>
      <c r="C145" s="9"/>
      <c r="D145" s="9"/>
      <c r="E145" s="9"/>
      <c r="F145" s="9"/>
      <c r="G145" s="9"/>
      <c r="H145" s="10"/>
      <c r="I145" s="10"/>
      <c r="J145" s="9"/>
      <c r="K145" s="11"/>
      <c r="L145" s="11"/>
      <c r="M145" s="12" t="str">
        <f t="shared" si="18"/>
        <v/>
      </c>
      <c r="N145" s="13"/>
      <c r="O145" s="13"/>
      <c r="P145" s="13"/>
      <c r="Q145" s="13"/>
      <c r="R145" s="13"/>
      <c r="S145" s="13"/>
      <c r="T145" s="13"/>
      <c r="U145" s="13"/>
      <c r="V145" s="13"/>
      <c r="W145" s="13"/>
      <c r="X145" s="13"/>
      <c r="Y145" s="13"/>
      <c r="Z145" s="9"/>
      <c r="AB145" t="str">
        <f t="shared" si="19"/>
        <v/>
      </c>
      <c r="AC145">
        <f t="shared" si="20"/>
        <v>0</v>
      </c>
      <c r="AD145">
        <f t="shared" si="21"/>
        <v>0</v>
      </c>
      <c r="AE145" t="str">
        <f t="shared" si="22"/>
        <v/>
      </c>
      <c r="AF145" t="str">
        <f t="shared" si="23"/>
        <v/>
      </c>
      <c r="AG145">
        <f t="shared" si="24"/>
        <v>0</v>
      </c>
      <c r="AH145" t="str">
        <f t="shared" si="25"/>
        <v/>
      </c>
      <c r="AI145" t="str">
        <f t="shared" si="26"/>
        <v/>
      </c>
    </row>
    <row r="146" spans="1:35" x14ac:dyDescent="0.25">
      <c r="A146" s="9"/>
      <c r="B146" s="9"/>
      <c r="C146" s="9"/>
      <c r="D146" s="9"/>
      <c r="E146" s="9"/>
      <c r="F146" s="9"/>
      <c r="G146" s="9"/>
      <c r="H146" s="10"/>
      <c r="I146" s="10"/>
      <c r="J146" s="9"/>
      <c r="K146" s="11"/>
      <c r="L146" s="11"/>
      <c r="M146" s="12" t="str">
        <f t="shared" si="18"/>
        <v/>
      </c>
      <c r="N146" s="13"/>
      <c r="O146" s="13"/>
      <c r="P146" s="13"/>
      <c r="Q146" s="13"/>
      <c r="R146" s="13"/>
      <c r="S146" s="13"/>
      <c r="T146" s="13"/>
      <c r="U146" s="13"/>
      <c r="V146" s="13"/>
      <c r="W146" s="13"/>
      <c r="X146" s="13"/>
      <c r="Y146" s="13"/>
      <c r="Z146" s="9"/>
      <c r="AB146" t="str">
        <f t="shared" si="19"/>
        <v/>
      </c>
      <c r="AC146">
        <f t="shared" si="20"/>
        <v>0</v>
      </c>
      <c r="AD146">
        <f t="shared" si="21"/>
        <v>0</v>
      </c>
      <c r="AE146" t="str">
        <f t="shared" si="22"/>
        <v/>
      </c>
      <c r="AF146" t="str">
        <f t="shared" si="23"/>
        <v/>
      </c>
      <c r="AG146">
        <f t="shared" si="24"/>
        <v>0</v>
      </c>
      <c r="AH146" t="str">
        <f t="shared" si="25"/>
        <v/>
      </c>
      <c r="AI146" t="str">
        <f t="shared" si="26"/>
        <v/>
      </c>
    </row>
    <row r="147" spans="1:35" x14ac:dyDescent="0.25">
      <c r="A147" s="9"/>
      <c r="B147" s="9"/>
      <c r="C147" s="9"/>
      <c r="D147" s="9"/>
      <c r="E147" s="9"/>
      <c r="F147" s="9"/>
      <c r="G147" s="9"/>
      <c r="H147" s="10"/>
      <c r="I147" s="10"/>
      <c r="J147" s="9"/>
      <c r="K147" s="11"/>
      <c r="L147" s="11"/>
      <c r="M147" s="12" t="str">
        <f t="shared" si="18"/>
        <v/>
      </c>
      <c r="N147" s="13"/>
      <c r="O147" s="13"/>
      <c r="P147" s="13"/>
      <c r="Q147" s="13"/>
      <c r="R147" s="13"/>
      <c r="S147" s="13"/>
      <c r="T147" s="13"/>
      <c r="U147" s="13"/>
      <c r="V147" s="13"/>
      <c r="W147" s="13"/>
      <c r="X147" s="13"/>
      <c r="Y147" s="13"/>
      <c r="Z147" s="9"/>
      <c r="AB147" t="str">
        <f t="shared" si="19"/>
        <v/>
      </c>
      <c r="AC147">
        <f t="shared" si="20"/>
        <v>0</v>
      </c>
      <c r="AD147">
        <f t="shared" si="21"/>
        <v>0</v>
      </c>
      <c r="AE147" t="str">
        <f t="shared" si="22"/>
        <v/>
      </c>
      <c r="AF147" t="str">
        <f t="shared" si="23"/>
        <v/>
      </c>
      <c r="AG147">
        <f t="shared" si="24"/>
        <v>0</v>
      </c>
      <c r="AH147" t="str">
        <f t="shared" si="25"/>
        <v/>
      </c>
      <c r="AI147" t="str">
        <f t="shared" si="26"/>
        <v/>
      </c>
    </row>
    <row r="148" spans="1:35" x14ac:dyDescent="0.25">
      <c r="A148" s="9"/>
      <c r="B148" s="9"/>
      <c r="C148" s="9"/>
      <c r="D148" s="9"/>
      <c r="E148" s="9"/>
      <c r="F148" s="9"/>
      <c r="G148" s="9"/>
      <c r="H148" s="10"/>
      <c r="I148" s="10"/>
      <c r="J148" s="9"/>
      <c r="K148" s="11"/>
      <c r="L148" s="11"/>
      <c r="M148" s="12" t="str">
        <f t="shared" si="18"/>
        <v/>
      </c>
      <c r="N148" s="13"/>
      <c r="O148" s="13"/>
      <c r="P148" s="13"/>
      <c r="Q148" s="13"/>
      <c r="R148" s="13"/>
      <c r="S148" s="13"/>
      <c r="T148" s="13"/>
      <c r="U148" s="13"/>
      <c r="V148" s="13"/>
      <c r="W148" s="13"/>
      <c r="X148" s="13"/>
      <c r="Y148" s="13"/>
      <c r="Z148" s="9"/>
      <c r="AB148" t="str">
        <f t="shared" si="19"/>
        <v/>
      </c>
      <c r="AC148">
        <f t="shared" si="20"/>
        <v>0</v>
      </c>
      <c r="AD148">
        <f t="shared" si="21"/>
        <v>0</v>
      </c>
      <c r="AE148" t="str">
        <f t="shared" si="22"/>
        <v/>
      </c>
      <c r="AF148" t="str">
        <f t="shared" si="23"/>
        <v/>
      </c>
      <c r="AG148">
        <f t="shared" si="24"/>
        <v>0</v>
      </c>
      <c r="AH148" t="str">
        <f t="shared" si="25"/>
        <v/>
      </c>
      <c r="AI148" t="str">
        <f t="shared" si="26"/>
        <v/>
      </c>
    </row>
    <row r="149" spans="1:35" x14ac:dyDescent="0.25">
      <c r="A149" s="9"/>
      <c r="B149" s="9"/>
      <c r="C149" s="9"/>
      <c r="D149" s="9"/>
      <c r="E149" s="9"/>
      <c r="F149" s="9"/>
      <c r="G149" s="9"/>
      <c r="H149" s="10"/>
      <c r="I149" s="10"/>
      <c r="J149" s="9"/>
      <c r="K149" s="11"/>
      <c r="L149" s="11"/>
      <c r="M149" s="12" t="str">
        <f t="shared" si="18"/>
        <v/>
      </c>
      <c r="N149" s="13"/>
      <c r="O149" s="13"/>
      <c r="P149" s="13"/>
      <c r="Q149" s="13"/>
      <c r="R149" s="13"/>
      <c r="S149" s="13"/>
      <c r="T149" s="13"/>
      <c r="U149" s="13"/>
      <c r="V149" s="13"/>
      <c r="W149" s="13"/>
      <c r="X149" s="13"/>
      <c r="Y149" s="13"/>
      <c r="Z149" s="9"/>
      <c r="AB149" t="str">
        <f t="shared" si="19"/>
        <v/>
      </c>
      <c r="AC149">
        <f t="shared" si="20"/>
        <v>0</v>
      </c>
      <c r="AD149">
        <f t="shared" si="21"/>
        <v>0</v>
      </c>
      <c r="AE149" t="str">
        <f t="shared" si="22"/>
        <v/>
      </c>
      <c r="AF149" t="str">
        <f t="shared" si="23"/>
        <v/>
      </c>
      <c r="AG149">
        <f t="shared" si="24"/>
        <v>0</v>
      </c>
      <c r="AH149" t="str">
        <f t="shared" si="25"/>
        <v/>
      </c>
      <c r="AI149" t="str">
        <f t="shared" si="26"/>
        <v/>
      </c>
    </row>
    <row r="150" spans="1:35" x14ac:dyDescent="0.25">
      <c r="A150" s="9"/>
      <c r="B150" s="9"/>
      <c r="C150" s="9"/>
      <c r="D150" s="9"/>
      <c r="E150" s="9"/>
      <c r="F150" s="9"/>
      <c r="G150" s="9"/>
      <c r="H150" s="10"/>
      <c r="I150" s="10"/>
      <c r="J150" s="9"/>
      <c r="K150" s="11"/>
      <c r="L150" s="11"/>
      <c r="M150" s="12" t="str">
        <f t="shared" si="18"/>
        <v/>
      </c>
      <c r="N150" s="13"/>
      <c r="O150" s="13"/>
      <c r="P150" s="13"/>
      <c r="Q150" s="13"/>
      <c r="R150" s="13"/>
      <c r="S150" s="13"/>
      <c r="T150" s="13"/>
      <c r="U150" s="13"/>
      <c r="V150" s="13"/>
      <c r="W150" s="13"/>
      <c r="X150" s="13"/>
      <c r="Y150" s="13"/>
      <c r="Z150" s="9"/>
      <c r="AB150" t="str">
        <f t="shared" si="19"/>
        <v/>
      </c>
      <c r="AC150">
        <f t="shared" si="20"/>
        <v>0</v>
      </c>
      <c r="AD150">
        <f t="shared" si="21"/>
        <v>0</v>
      </c>
      <c r="AE150" t="str">
        <f t="shared" si="22"/>
        <v/>
      </c>
      <c r="AF150" t="str">
        <f t="shared" si="23"/>
        <v/>
      </c>
      <c r="AG150">
        <f t="shared" si="24"/>
        <v>0</v>
      </c>
      <c r="AH150" t="str">
        <f t="shared" si="25"/>
        <v/>
      </c>
      <c r="AI150" t="str">
        <f t="shared" si="26"/>
        <v/>
      </c>
    </row>
    <row r="151" spans="1:35" x14ac:dyDescent="0.25">
      <c r="A151" s="9"/>
      <c r="B151" s="9"/>
      <c r="C151" s="9"/>
      <c r="D151" s="9"/>
      <c r="E151" s="9"/>
      <c r="F151" s="9"/>
      <c r="G151" s="9"/>
      <c r="H151" s="10"/>
      <c r="I151" s="10"/>
      <c r="J151" s="9"/>
      <c r="K151" s="11"/>
      <c r="L151" s="11"/>
      <c r="M151" s="12" t="str">
        <f t="shared" si="18"/>
        <v/>
      </c>
      <c r="N151" s="13"/>
      <c r="O151" s="13"/>
      <c r="P151" s="13"/>
      <c r="Q151" s="13"/>
      <c r="R151" s="13"/>
      <c r="S151" s="13"/>
      <c r="T151" s="13"/>
      <c r="U151" s="13"/>
      <c r="V151" s="13"/>
      <c r="W151" s="13"/>
      <c r="X151" s="13"/>
      <c r="Y151" s="13"/>
      <c r="Z151" s="9"/>
      <c r="AB151" t="str">
        <f t="shared" si="19"/>
        <v/>
      </c>
      <c r="AC151">
        <f t="shared" si="20"/>
        <v>0</v>
      </c>
      <c r="AD151">
        <f t="shared" si="21"/>
        <v>0</v>
      </c>
      <c r="AE151" t="str">
        <f t="shared" si="22"/>
        <v/>
      </c>
      <c r="AF151" t="str">
        <f t="shared" si="23"/>
        <v/>
      </c>
      <c r="AG151">
        <f t="shared" si="24"/>
        <v>0</v>
      </c>
      <c r="AH151" t="str">
        <f t="shared" si="25"/>
        <v/>
      </c>
      <c r="AI151" t="str">
        <f t="shared" si="26"/>
        <v/>
      </c>
    </row>
    <row r="152" spans="1:35" x14ac:dyDescent="0.25">
      <c r="A152" s="9"/>
      <c r="B152" s="9"/>
      <c r="C152" s="9"/>
      <c r="D152" s="9"/>
      <c r="E152" s="9"/>
      <c r="F152" s="9"/>
      <c r="G152" s="9"/>
      <c r="H152" s="10"/>
      <c r="I152" s="10"/>
      <c r="J152" s="9"/>
      <c r="K152" s="11"/>
      <c r="L152" s="11"/>
      <c r="M152" s="12" t="str">
        <f t="shared" si="18"/>
        <v/>
      </c>
      <c r="N152" s="13"/>
      <c r="O152" s="13"/>
      <c r="P152" s="13"/>
      <c r="Q152" s="13"/>
      <c r="R152" s="13"/>
      <c r="S152" s="13"/>
      <c r="T152" s="13"/>
      <c r="U152" s="13"/>
      <c r="V152" s="13"/>
      <c r="W152" s="13"/>
      <c r="X152" s="13"/>
      <c r="Y152" s="13"/>
      <c r="Z152" s="9"/>
      <c r="AB152" t="str">
        <f t="shared" si="19"/>
        <v/>
      </c>
      <c r="AC152">
        <f t="shared" si="20"/>
        <v>0</v>
      </c>
      <c r="AD152">
        <f t="shared" si="21"/>
        <v>0</v>
      </c>
      <c r="AE152" t="str">
        <f t="shared" si="22"/>
        <v/>
      </c>
      <c r="AF152" t="str">
        <f t="shared" si="23"/>
        <v/>
      </c>
      <c r="AG152">
        <f t="shared" si="24"/>
        <v>0</v>
      </c>
      <c r="AH152" t="str">
        <f t="shared" si="25"/>
        <v/>
      </c>
      <c r="AI152" t="str">
        <f t="shared" si="26"/>
        <v/>
      </c>
    </row>
    <row r="153" spans="1:35" x14ac:dyDescent="0.25">
      <c r="A153" s="9"/>
      <c r="B153" s="9"/>
      <c r="C153" s="9"/>
      <c r="D153" s="9"/>
      <c r="E153" s="9"/>
      <c r="F153" s="9"/>
      <c r="G153" s="9"/>
      <c r="H153" s="10"/>
      <c r="I153" s="10"/>
      <c r="J153" s="9"/>
      <c r="K153" s="11"/>
      <c r="L153" s="11"/>
      <c r="M153" s="12" t="str">
        <f t="shared" si="18"/>
        <v/>
      </c>
      <c r="N153" s="13"/>
      <c r="O153" s="13"/>
      <c r="P153" s="13"/>
      <c r="Q153" s="13"/>
      <c r="R153" s="13"/>
      <c r="S153" s="13"/>
      <c r="T153" s="13"/>
      <c r="U153" s="13"/>
      <c r="V153" s="13"/>
      <c r="W153" s="13"/>
      <c r="X153" s="13"/>
      <c r="Y153" s="13"/>
      <c r="Z153" s="9"/>
      <c r="AB153" t="str">
        <f t="shared" si="19"/>
        <v/>
      </c>
      <c r="AC153">
        <f t="shared" si="20"/>
        <v>0</v>
      </c>
      <c r="AD153">
        <f t="shared" si="21"/>
        <v>0</v>
      </c>
      <c r="AE153" t="str">
        <f t="shared" si="22"/>
        <v/>
      </c>
      <c r="AF153" t="str">
        <f t="shared" si="23"/>
        <v/>
      </c>
      <c r="AG153">
        <f t="shared" si="24"/>
        <v>0</v>
      </c>
      <c r="AH153" t="str">
        <f t="shared" si="25"/>
        <v/>
      </c>
      <c r="AI153" t="str">
        <f t="shared" si="26"/>
        <v/>
      </c>
    </row>
    <row r="154" spans="1:35" x14ac:dyDescent="0.25">
      <c r="A154" s="9"/>
      <c r="B154" s="9"/>
      <c r="C154" s="9"/>
      <c r="D154" s="9"/>
      <c r="E154" s="9"/>
      <c r="F154" s="9"/>
      <c r="G154" s="9"/>
      <c r="H154" s="10"/>
      <c r="I154" s="10"/>
      <c r="J154" s="9"/>
      <c r="K154" s="11"/>
      <c r="L154" s="11"/>
      <c r="M154" s="12" t="str">
        <f t="shared" si="18"/>
        <v/>
      </c>
      <c r="N154" s="13"/>
      <c r="O154" s="13"/>
      <c r="P154" s="13"/>
      <c r="Q154" s="13"/>
      <c r="R154" s="13"/>
      <c r="S154" s="13"/>
      <c r="T154" s="13"/>
      <c r="U154" s="13"/>
      <c r="V154" s="13"/>
      <c r="W154" s="13"/>
      <c r="X154" s="13"/>
      <c r="Y154" s="13"/>
      <c r="Z154" s="9"/>
      <c r="AB154" t="str">
        <f t="shared" si="19"/>
        <v/>
      </c>
      <c r="AC154">
        <f t="shared" si="20"/>
        <v>0</v>
      </c>
      <c r="AD154">
        <f t="shared" si="21"/>
        <v>0</v>
      </c>
      <c r="AE154" t="str">
        <f t="shared" si="22"/>
        <v/>
      </c>
      <c r="AF154" t="str">
        <f t="shared" si="23"/>
        <v/>
      </c>
      <c r="AG154">
        <f t="shared" si="24"/>
        <v>0</v>
      </c>
      <c r="AH154" t="str">
        <f t="shared" si="25"/>
        <v/>
      </c>
      <c r="AI154" t="str">
        <f t="shared" si="26"/>
        <v/>
      </c>
    </row>
    <row r="155" spans="1:35" x14ac:dyDescent="0.25">
      <c r="A155" s="9"/>
      <c r="B155" s="9"/>
      <c r="C155" s="9"/>
      <c r="D155" s="9"/>
      <c r="E155" s="9"/>
      <c r="F155" s="9"/>
      <c r="G155" s="9"/>
      <c r="H155" s="10"/>
      <c r="I155" s="10"/>
      <c r="J155" s="9"/>
      <c r="K155" s="11"/>
      <c r="L155" s="11"/>
      <c r="M155" s="12" t="str">
        <f t="shared" si="18"/>
        <v/>
      </c>
      <c r="N155" s="13"/>
      <c r="O155" s="13"/>
      <c r="P155" s="13"/>
      <c r="Q155" s="13"/>
      <c r="R155" s="13"/>
      <c r="S155" s="13"/>
      <c r="T155" s="13"/>
      <c r="U155" s="13"/>
      <c r="V155" s="13"/>
      <c r="W155" s="13"/>
      <c r="X155" s="13"/>
      <c r="Y155" s="13"/>
      <c r="Z155" s="9"/>
      <c r="AB155" t="str">
        <f t="shared" si="19"/>
        <v/>
      </c>
      <c r="AC155">
        <f t="shared" si="20"/>
        <v>0</v>
      </c>
      <c r="AD155">
        <f t="shared" si="21"/>
        <v>0</v>
      </c>
      <c r="AE155" t="str">
        <f t="shared" si="22"/>
        <v/>
      </c>
      <c r="AF155" t="str">
        <f t="shared" si="23"/>
        <v/>
      </c>
      <c r="AG155">
        <f t="shared" si="24"/>
        <v>0</v>
      </c>
      <c r="AH155" t="str">
        <f t="shared" si="25"/>
        <v/>
      </c>
      <c r="AI155" t="str">
        <f t="shared" si="26"/>
        <v/>
      </c>
    </row>
    <row r="156" spans="1:35" x14ac:dyDescent="0.25">
      <c r="A156" s="9"/>
      <c r="B156" s="9"/>
      <c r="C156" s="9"/>
      <c r="D156" s="9"/>
      <c r="E156" s="9"/>
      <c r="F156" s="9"/>
      <c r="G156" s="9"/>
      <c r="H156" s="10"/>
      <c r="I156" s="10"/>
      <c r="J156" s="9"/>
      <c r="K156" s="11"/>
      <c r="L156" s="11"/>
      <c r="M156" s="12" t="str">
        <f t="shared" si="18"/>
        <v/>
      </c>
      <c r="N156" s="13"/>
      <c r="O156" s="13"/>
      <c r="P156" s="13"/>
      <c r="Q156" s="13"/>
      <c r="R156" s="13"/>
      <c r="S156" s="13"/>
      <c r="T156" s="13"/>
      <c r="U156" s="13"/>
      <c r="V156" s="13"/>
      <c r="W156" s="13"/>
      <c r="X156" s="13"/>
      <c r="Y156" s="13"/>
      <c r="Z156" s="9"/>
      <c r="AB156" t="str">
        <f t="shared" si="19"/>
        <v/>
      </c>
      <c r="AC156">
        <f t="shared" si="20"/>
        <v>0</v>
      </c>
      <c r="AD156">
        <f t="shared" si="21"/>
        <v>0</v>
      </c>
      <c r="AE156" t="str">
        <f t="shared" si="22"/>
        <v/>
      </c>
      <c r="AF156" t="str">
        <f t="shared" si="23"/>
        <v/>
      </c>
      <c r="AG156">
        <f t="shared" si="24"/>
        <v>0</v>
      </c>
      <c r="AH156" t="str">
        <f t="shared" si="25"/>
        <v/>
      </c>
      <c r="AI156" t="str">
        <f t="shared" si="26"/>
        <v/>
      </c>
    </row>
    <row r="157" spans="1:35" x14ac:dyDescent="0.25">
      <c r="A157" s="9"/>
      <c r="B157" s="9"/>
      <c r="C157" s="9"/>
      <c r="D157" s="9"/>
      <c r="E157" s="9"/>
      <c r="F157" s="9"/>
      <c r="G157" s="9"/>
      <c r="H157" s="10"/>
      <c r="I157" s="10"/>
      <c r="J157" s="9"/>
      <c r="K157" s="11"/>
      <c r="L157" s="11"/>
      <c r="M157" s="12" t="str">
        <f t="shared" si="18"/>
        <v/>
      </c>
      <c r="N157" s="13"/>
      <c r="O157" s="13"/>
      <c r="P157" s="13"/>
      <c r="Q157" s="13"/>
      <c r="R157" s="13"/>
      <c r="S157" s="13"/>
      <c r="T157" s="13"/>
      <c r="U157" s="13"/>
      <c r="V157" s="13"/>
      <c r="W157" s="13"/>
      <c r="X157" s="13"/>
      <c r="Y157" s="13"/>
      <c r="Z157" s="9"/>
      <c r="AB157" t="str">
        <f t="shared" si="19"/>
        <v/>
      </c>
      <c r="AC157">
        <f t="shared" si="20"/>
        <v>0</v>
      </c>
      <c r="AD157">
        <f t="shared" si="21"/>
        <v>0</v>
      </c>
      <c r="AE157" t="str">
        <f t="shared" si="22"/>
        <v/>
      </c>
      <c r="AF157" t="str">
        <f t="shared" si="23"/>
        <v/>
      </c>
      <c r="AG157">
        <f t="shared" si="24"/>
        <v>0</v>
      </c>
      <c r="AH157" t="str">
        <f t="shared" si="25"/>
        <v/>
      </c>
      <c r="AI157" t="str">
        <f t="shared" si="26"/>
        <v/>
      </c>
    </row>
    <row r="158" spans="1:35" x14ac:dyDescent="0.25">
      <c r="A158" s="9"/>
      <c r="B158" s="9"/>
      <c r="C158" s="9"/>
      <c r="D158" s="9"/>
      <c r="E158" s="9"/>
      <c r="F158" s="9"/>
      <c r="G158" s="9"/>
      <c r="H158" s="10"/>
      <c r="I158" s="10"/>
      <c r="J158" s="9"/>
      <c r="K158" s="11"/>
      <c r="L158" s="11"/>
      <c r="M158" s="12" t="str">
        <f t="shared" si="18"/>
        <v/>
      </c>
      <c r="N158" s="13"/>
      <c r="O158" s="13"/>
      <c r="P158" s="13"/>
      <c r="Q158" s="13"/>
      <c r="R158" s="13"/>
      <c r="S158" s="13"/>
      <c r="T158" s="13"/>
      <c r="U158" s="13"/>
      <c r="V158" s="13"/>
      <c r="W158" s="13"/>
      <c r="X158" s="13"/>
      <c r="Y158" s="13"/>
      <c r="Z158" s="9"/>
      <c r="AB158" t="str">
        <f t="shared" si="19"/>
        <v/>
      </c>
      <c r="AC158">
        <f t="shared" si="20"/>
        <v>0</v>
      </c>
      <c r="AD158">
        <f t="shared" si="21"/>
        <v>0</v>
      </c>
      <c r="AE158" t="str">
        <f t="shared" si="22"/>
        <v/>
      </c>
      <c r="AF158" t="str">
        <f t="shared" si="23"/>
        <v/>
      </c>
      <c r="AG158">
        <f t="shared" si="24"/>
        <v>0</v>
      </c>
      <c r="AH158" t="str">
        <f t="shared" si="25"/>
        <v/>
      </c>
      <c r="AI158" t="str">
        <f t="shared" si="26"/>
        <v/>
      </c>
    </row>
    <row r="159" spans="1:35" x14ac:dyDescent="0.25">
      <c r="A159" s="9"/>
      <c r="B159" s="9"/>
      <c r="C159" s="9"/>
      <c r="D159" s="9"/>
      <c r="E159" s="9"/>
      <c r="F159" s="9"/>
      <c r="G159" s="9"/>
      <c r="H159" s="10"/>
      <c r="I159" s="10"/>
      <c r="J159" s="9"/>
      <c r="K159" s="11"/>
      <c r="L159" s="11"/>
      <c r="M159" s="12" t="str">
        <f t="shared" si="18"/>
        <v/>
      </c>
      <c r="N159" s="13"/>
      <c r="O159" s="13"/>
      <c r="P159" s="13"/>
      <c r="Q159" s="13"/>
      <c r="R159" s="13"/>
      <c r="S159" s="13"/>
      <c r="T159" s="13"/>
      <c r="U159" s="13"/>
      <c r="V159" s="13"/>
      <c r="W159" s="13"/>
      <c r="X159" s="13"/>
      <c r="Y159" s="13"/>
      <c r="Z159" s="9"/>
      <c r="AB159" t="str">
        <f t="shared" si="19"/>
        <v/>
      </c>
      <c r="AC159">
        <f t="shared" si="20"/>
        <v>0</v>
      </c>
      <c r="AD159">
        <f t="shared" si="21"/>
        <v>0</v>
      </c>
      <c r="AE159" t="str">
        <f t="shared" si="22"/>
        <v/>
      </c>
      <c r="AF159" t="str">
        <f t="shared" si="23"/>
        <v/>
      </c>
      <c r="AG159">
        <f t="shared" si="24"/>
        <v>0</v>
      </c>
      <c r="AH159" t="str">
        <f t="shared" si="25"/>
        <v/>
      </c>
      <c r="AI159" t="str">
        <f t="shared" si="26"/>
        <v/>
      </c>
    </row>
    <row r="160" spans="1:35" x14ac:dyDescent="0.25">
      <c r="A160" s="9"/>
      <c r="B160" s="9"/>
      <c r="C160" s="9"/>
      <c r="D160" s="9"/>
      <c r="E160" s="9"/>
      <c r="F160" s="9"/>
      <c r="G160" s="9"/>
      <c r="H160" s="10"/>
      <c r="I160" s="10"/>
      <c r="J160" s="9"/>
      <c r="K160" s="11"/>
      <c r="L160" s="11"/>
      <c r="M160" s="12" t="str">
        <f t="shared" si="18"/>
        <v/>
      </c>
      <c r="N160" s="13"/>
      <c r="O160" s="13"/>
      <c r="P160" s="13"/>
      <c r="Q160" s="13"/>
      <c r="R160" s="13"/>
      <c r="S160" s="13"/>
      <c r="T160" s="13"/>
      <c r="U160" s="13"/>
      <c r="V160" s="13"/>
      <c r="W160" s="13"/>
      <c r="X160" s="13"/>
      <c r="Y160" s="13"/>
      <c r="Z160" s="9"/>
      <c r="AB160" t="str">
        <f t="shared" si="19"/>
        <v/>
      </c>
      <c r="AC160">
        <f t="shared" si="20"/>
        <v>0</v>
      </c>
      <c r="AD160">
        <f t="shared" si="21"/>
        <v>0</v>
      </c>
      <c r="AE160" t="str">
        <f t="shared" si="22"/>
        <v/>
      </c>
      <c r="AF160" t="str">
        <f t="shared" si="23"/>
        <v/>
      </c>
      <c r="AG160">
        <f t="shared" si="24"/>
        <v>0</v>
      </c>
      <c r="AH160" t="str">
        <f t="shared" si="25"/>
        <v/>
      </c>
      <c r="AI160" t="str">
        <f t="shared" si="26"/>
        <v/>
      </c>
    </row>
    <row r="161" spans="1:35" x14ac:dyDescent="0.25">
      <c r="A161" s="9"/>
      <c r="B161" s="9"/>
      <c r="C161" s="9"/>
      <c r="D161" s="9"/>
      <c r="E161" s="9"/>
      <c r="F161" s="9"/>
      <c r="G161" s="9"/>
      <c r="H161" s="10"/>
      <c r="I161" s="10"/>
      <c r="J161" s="9"/>
      <c r="K161" s="11"/>
      <c r="L161" s="11"/>
      <c r="M161" s="12" t="str">
        <f t="shared" si="18"/>
        <v/>
      </c>
      <c r="N161" s="13"/>
      <c r="O161" s="13"/>
      <c r="P161" s="13"/>
      <c r="Q161" s="13"/>
      <c r="R161" s="13"/>
      <c r="S161" s="13"/>
      <c r="T161" s="13"/>
      <c r="U161" s="13"/>
      <c r="V161" s="13"/>
      <c r="W161" s="13"/>
      <c r="X161" s="13"/>
      <c r="Y161" s="13"/>
      <c r="Z161" s="9"/>
      <c r="AB161" t="str">
        <f t="shared" si="19"/>
        <v/>
      </c>
      <c r="AC161">
        <f t="shared" si="20"/>
        <v>0</v>
      </c>
      <c r="AD161">
        <f t="shared" si="21"/>
        <v>0</v>
      </c>
      <c r="AE161" t="str">
        <f t="shared" si="22"/>
        <v/>
      </c>
      <c r="AF161" t="str">
        <f t="shared" si="23"/>
        <v/>
      </c>
      <c r="AG161">
        <f t="shared" si="24"/>
        <v>0</v>
      </c>
      <c r="AH161" t="str">
        <f t="shared" si="25"/>
        <v/>
      </c>
      <c r="AI161" t="str">
        <f t="shared" si="26"/>
        <v/>
      </c>
    </row>
    <row r="162" spans="1:35" x14ac:dyDescent="0.25">
      <c r="A162" s="9"/>
      <c r="B162" s="9"/>
      <c r="C162" s="9"/>
      <c r="D162" s="9"/>
      <c r="E162" s="9"/>
      <c r="F162" s="9"/>
      <c r="G162" s="9"/>
      <c r="H162" s="10"/>
      <c r="I162" s="10"/>
      <c r="J162" s="9"/>
      <c r="K162" s="11"/>
      <c r="L162" s="11"/>
      <c r="M162" s="12" t="str">
        <f t="shared" si="18"/>
        <v/>
      </c>
      <c r="N162" s="13"/>
      <c r="O162" s="13"/>
      <c r="P162" s="13"/>
      <c r="Q162" s="13"/>
      <c r="R162" s="13"/>
      <c r="S162" s="13"/>
      <c r="T162" s="13"/>
      <c r="U162" s="13"/>
      <c r="V162" s="13"/>
      <c r="W162" s="13"/>
      <c r="X162" s="13"/>
      <c r="Y162" s="13"/>
      <c r="Z162" s="9"/>
      <c r="AB162" t="str">
        <f t="shared" si="19"/>
        <v/>
      </c>
      <c r="AC162">
        <f t="shared" si="20"/>
        <v>0</v>
      </c>
      <c r="AD162">
        <f t="shared" si="21"/>
        <v>0</v>
      </c>
      <c r="AE162" t="str">
        <f t="shared" si="22"/>
        <v/>
      </c>
      <c r="AF162" t="str">
        <f t="shared" si="23"/>
        <v/>
      </c>
      <c r="AG162">
        <f t="shared" si="24"/>
        <v>0</v>
      </c>
      <c r="AH162" t="str">
        <f t="shared" si="25"/>
        <v/>
      </c>
      <c r="AI162" t="str">
        <f t="shared" si="26"/>
        <v/>
      </c>
    </row>
    <row r="163" spans="1:35" x14ac:dyDescent="0.25">
      <c r="A163" s="9"/>
      <c r="B163" s="9"/>
      <c r="C163" s="9"/>
      <c r="D163" s="9"/>
      <c r="E163" s="9"/>
      <c r="F163" s="9"/>
      <c r="G163" s="9"/>
      <c r="H163" s="10"/>
      <c r="I163" s="10"/>
      <c r="J163" s="9"/>
      <c r="K163" s="11"/>
      <c r="L163" s="11"/>
      <c r="M163" s="12" t="str">
        <f t="shared" si="18"/>
        <v/>
      </c>
      <c r="N163" s="13"/>
      <c r="O163" s="13"/>
      <c r="P163" s="13"/>
      <c r="Q163" s="13"/>
      <c r="R163" s="13"/>
      <c r="S163" s="13"/>
      <c r="T163" s="13"/>
      <c r="U163" s="13"/>
      <c r="V163" s="13"/>
      <c r="W163" s="13"/>
      <c r="X163" s="13"/>
      <c r="Y163" s="13"/>
      <c r="Z163" s="9"/>
      <c r="AB163" t="str">
        <f t="shared" si="19"/>
        <v/>
      </c>
      <c r="AC163">
        <f t="shared" si="20"/>
        <v>0</v>
      </c>
      <c r="AD163">
        <f t="shared" si="21"/>
        <v>0</v>
      </c>
      <c r="AE163" t="str">
        <f t="shared" si="22"/>
        <v/>
      </c>
      <c r="AF163" t="str">
        <f t="shared" si="23"/>
        <v/>
      </c>
      <c r="AG163">
        <f t="shared" si="24"/>
        <v>0</v>
      </c>
      <c r="AH163" t="str">
        <f t="shared" si="25"/>
        <v/>
      </c>
      <c r="AI163" t="str">
        <f t="shared" si="26"/>
        <v/>
      </c>
    </row>
    <row r="164" spans="1:35" x14ac:dyDescent="0.25">
      <c r="A164" s="9"/>
      <c r="B164" s="9"/>
      <c r="C164" s="9"/>
      <c r="D164" s="9"/>
      <c r="E164" s="9"/>
      <c r="F164" s="9"/>
      <c r="G164" s="9"/>
      <c r="H164" s="10"/>
      <c r="I164" s="10"/>
      <c r="J164" s="9"/>
      <c r="K164" s="11"/>
      <c r="L164" s="11"/>
      <c r="M164" s="12" t="str">
        <f t="shared" si="18"/>
        <v/>
      </c>
      <c r="N164" s="13"/>
      <c r="O164" s="13"/>
      <c r="P164" s="13"/>
      <c r="Q164" s="13"/>
      <c r="R164" s="13"/>
      <c r="S164" s="13"/>
      <c r="T164" s="13"/>
      <c r="U164" s="13"/>
      <c r="V164" s="13"/>
      <c r="W164" s="13"/>
      <c r="X164" s="13"/>
      <c r="Y164" s="13"/>
      <c r="Z164" s="9"/>
      <c r="AB164" t="str">
        <f t="shared" si="19"/>
        <v/>
      </c>
      <c r="AC164">
        <f t="shared" si="20"/>
        <v>0</v>
      </c>
      <c r="AD164">
        <f t="shared" si="21"/>
        <v>0</v>
      </c>
      <c r="AE164" t="str">
        <f t="shared" si="22"/>
        <v/>
      </c>
      <c r="AF164" t="str">
        <f t="shared" si="23"/>
        <v/>
      </c>
      <c r="AG164">
        <f t="shared" si="24"/>
        <v>0</v>
      </c>
      <c r="AH164" t="str">
        <f t="shared" si="25"/>
        <v/>
      </c>
      <c r="AI164" t="str">
        <f t="shared" si="26"/>
        <v/>
      </c>
    </row>
    <row r="165" spans="1:35" x14ac:dyDescent="0.25">
      <c r="A165" s="9"/>
      <c r="B165" s="9"/>
      <c r="C165" s="9"/>
      <c r="D165" s="9"/>
      <c r="E165" s="9"/>
      <c r="F165" s="9"/>
      <c r="G165" s="9"/>
      <c r="H165" s="10"/>
      <c r="I165" s="10"/>
      <c r="J165" s="9"/>
      <c r="K165" s="11"/>
      <c r="L165" s="11"/>
      <c r="M165" s="12" t="str">
        <f t="shared" si="18"/>
        <v/>
      </c>
      <c r="N165" s="13"/>
      <c r="O165" s="13"/>
      <c r="P165" s="13"/>
      <c r="Q165" s="13"/>
      <c r="R165" s="13"/>
      <c r="S165" s="13"/>
      <c r="T165" s="13"/>
      <c r="U165" s="13"/>
      <c r="V165" s="13"/>
      <c r="W165" s="13"/>
      <c r="X165" s="13"/>
      <c r="Y165" s="13"/>
      <c r="Z165" s="9"/>
      <c r="AB165" t="str">
        <f t="shared" si="19"/>
        <v/>
      </c>
      <c r="AC165">
        <f t="shared" si="20"/>
        <v>0</v>
      </c>
      <c r="AD165">
        <f t="shared" si="21"/>
        <v>0</v>
      </c>
      <c r="AE165" t="str">
        <f t="shared" si="22"/>
        <v/>
      </c>
      <c r="AF165" t="str">
        <f t="shared" si="23"/>
        <v/>
      </c>
      <c r="AG165">
        <f t="shared" si="24"/>
        <v>0</v>
      </c>
      <c r="AH165" t="str">
        <f t="shared" si="25"/>
        <v/>
      </c>
      <c r="AI165" t="str">
        <f t="shared" si="26"/>
        <v/>
      </c>
    </row>
    <row r="166" spans="1:35" x14ac:dyDescent="0.25">
      <c r="A166" s="9"/>
      <c r="B166" s="9"/>
      <c r="C166" s="9"/>
      <c r="D166" s="9"/>
      <c r="E166" s="9"/>
      <c r="F166" s="9"/>
      <c r="G166" s="9"/>
      <c r="H166" s="10"/>
      <c r="I166" s="10"/>
      <c r="J166" s="9"/>
      <c r="K166" s="11"/>
      <c r="L166" s="11"/>
      <c r="M166" s="12" t="str">
        <f t="shared" si="18"/>
        <v/>
      </c>
      <c r="N166" s="13"/>
      <c r="O166" s="13"/>
      <c r="P166" s="13"/>
      <c r="Q166" s="13"/>
      <c r="R166" s="13"/>
      <c r="S166" s="13"/>
      <c r="T166" s="13"/>
      <c r="U166" s="13"/>
      <c r="V166" s="13"/>
      <c r="W166" s="13"/>
      <c r="X166" s="13"/>
      <c r="Y166" s="13"/>
      <c r="Z166" s="9"/>
      <c r="AB166" t="str">
        <f t="shared" si="19"/>
        <v/>
      </c>
      <c r="AC166">
        <f t="shared" si="20"/>
        <v>0</v>
      </c>
      <c r="AD166">
        <f t="shared" si="21"/>
        <v>0</v>
      </c>
      <c r="AE166" t="str">
        <f t="shared" si="22"/>
        <v/>
      </c>
      <c r="AF166" t="str">
        <f t="shared" si="23"/>
        <v/>
      </c>
      <c r="AG166">
        <f t="shared" si="24"/>
        <v>0</v>
      </c>
      <c r="AH166" t="str">
        <f t="shared" si="25"/>
        <v/>
      </c>
      <c r="AI166" t="str">
        <f t="shared" si="26"/>
        <v/>
      </c>
    </row>
    <row r="167" spans="1:35" x14ac:dyDescent="0.25">
      <c r="A167" s="9"/>
      <c r="B167" s="9"/>
      <c r="C167" s="9"/>
      <c r="D167" s="9"/>
      <c r="E167" s="9"/>
      <c r="F167" s="9"/>
      <c r="G167" s="9"/>
      <c r="H167" s="10"/>
      <c r="I167" s="10"/>
      <c r="J167" s="9"/>
      <c r="K167" s="11"/>
      <c r="L167" s="11"/>
      <c r="M167" s="12" t="str">
        <f t="shared" si="18"/>
        <v/>
      </c>
      <c r="N167" s="13"/>
      <c r="O167" s="13"/>
      <c r="P167" s="13"/>
      <c r="Q167" s="13"/>
      <c r="R167" s="13"/>
      <c r="S167" s="13"/>
      <c r="T167" s="13"/>
      <c r="U167" s="13"/>
      <c r="V167" s="13"/>
      <c r="W167" s="13"/>
      <c r="X167" s="13"/>
      <c r="Y167" s="13"/>
      <c r="Z167" s="9"/>
      <c r="AB167" t="str">
        <f t="shared" si="19"/>
        <v/>
      </c>
      <c r="AC167">
        <f t="shared" si="20"/>
        <v>0</v>
      </c>
      <c r="AD167">
        <f t="shared" si="21"/>
        <v>0</v>
      </c>
      <c r="AE167" t="str">
        <f t="shared" si="22"/>
        <v/>
      </c>
      <c r="AF167" t="str">
        <f t="shared" si="23"/>
        <v/>
      </c>
      <c r="AG167">
        <f t="shared" si="24"/>
        <v>0</v>
      </c>
      <c r="AH167" t="str">
        <f t="shared" si="25"/>
        <v/>
      </c>
      <c r="AI167" t="str">
        <f t="shared" si="26"/>
        <v/>
      </c>
    </row>
    <row r="168" spans="1:35" x14ac:dyDescent="0.25">
      <c r="A168" s="9"/>
      <c r="B168" s="9"/>
      <c r="C168" s="9"/>
      <c r="D168" s="9"/>
      <c r="E168" s="9"/>
      <c r="F168" s="9"/>
      <c r="G168" s="9"/>
      <c r="H168" s="10"/>
      <c r="I168" s="10"/>
      <c r="J168" s="9"/>
      <c r="K168" s="11"/>
      <c r="L168" s="11"/>
      <c r="M168" s="12" t="str">
        <f t="shared" si="18"/>
        <v/>
      </c>
      <c r="N168" s="13"/>
      <c r="O168" s="13"/>
      <c r="P168" s="13"/>
      <c r="Q168" s="13"/>
      <c r="R168" s="13"/>
      <c r="S168" s="13"/>
      <c r="T168" s="13"/>
      <c r="U168" s="13"/>
      <c r="V168" s="13"/>
      <c r="W168" s="13"/>
      <c r="X168" s="13"/>
      <c r="Y168" s="13"/>
      <c r="Z168" s="9"/>
      <c r="AB168" t="str">
        <f t="shared" si="19"/>
        <v/>
      </c>
      <c r="AC168">
        <f t="shared" si="20"/>
        <v>0</v>
      </c>
      <c r="AD168">
        <f t="shared" si="21"/>
        <v>0</v>
      </c>
      <c r="AE168" t="str">
        <f t="shared" si="22"/>
        <v/>
      </c>
      <c r="AF168" t="str">
        <f t="shared" si="23"/>
        <v/>
      </c>
      <c r="AG168">
        <f t="shared" si="24"/>
        <v>0</v>
      </c>
      <c r="AH168" t="str">
        <f t="shared" si="25"/>
        <v/>
      </c>
      <c r="AI168" t="str">
        <f t="shared" si="26"/>
        <v/>
      </c>
    </row>
    <row r="169" spans="1:35" x14ac:dyDescent="0.25">
      <c r="A169" s="9"/>
      <c r="B169" s="9"/>
      <c r="C169" s="9"/>
      <c r="D169" s="9"/>
      <c r="E169" s="9"/>
      <c r="F169" s="9"/>
      <c r="G169" s="9"/>
      <c r="H169" s="10"/>
      <c r="I169" s="10"/>
      <c r="J169" s="9"/>
      <c r="K169" s="11"/>
      <c r="L169" s="11"/>
      <c r="M169" s="12" t="str">
        <f t="shared" si="18"/>
        <v/>
      </c>
      <c r="N169" s="13"/>
      <c r="O169" s="13"/>
      <c r="P169" s="13"/>
      <c r="Q169" s="13"/>
      <c r="R169" s="13"/>
      <c r="S169" s="13"/>
      <c r="T169" s="13"/>
      <c r="U169" s="13"/>
      <c r="V169" s="13"/>
      <c r="W169" s="13"/>
      <c r="X169" s="13"/>
      <c r="Y169" s="13"/>
      <c r="Z169" s="9"/>
      <c r="AB169" t="str">
        <f t="shared" si="19"/>
        <v/>
      </c>
      <c r="AC169">
        <f t="shared" si="20"/>
        <v>0</v>
      </c>
      <c r="AD169">
        <f t="shared" si="21"/>
        <v>0</v>
      </c>
      <c r="AE169" t="str">
        <f t="shared" si="22"/>
        <v/>
      </c>
      <c r="AF169" t="str">
        <f t="shared" si="23"/>
        <v/>
      </c>
      <c r="AG169">
        <f t="shared" si="24"/>
        <v>0</v>
      </c>
      <c r="AH169" t="str">
        <f t="shared" si="25"/>
        <v/>
      </c>
      <c r="AI169" t="str">
        <f t="shared" si="26"/>
        <v/>
      </c>
    </row>
    <row r="170" spans="1:35" x14ac:dyDescent="0.25">
      <c r="A170" s="9"/>
      <c r="B170" s="9"/>
      <c r="C170" s="9"/>
      <c r="D170" s="9"/>
      <c r="E170" s="9"/>
      <c r="F170" s="9"/>
      <c r="G170" s="9"/>
      <c r="H170" s="10"/>
      <c r="I170" s="10"/>
      <c r="J170" s="9"/>
      <c r="K170" s="11"/>
      <c r="L170" s="11"/>
      <c r="M170" s="12" t="str">
        <f t="shared" si="18"/>
        <v/>
      </c>
      <c r="N170" s="13"/>
      <c r="O170" s="13"/>
      <c r="P170" s="13"/>
      <c r="Q170" s="13"/>
      <c r="R170" s="13"/>
      <c r="S170" s="13"/>
      <c r="T170" s="13"/>
      <c r="U170" s="13"/>
      <c r="V170" s="13"/>
      <c r="W170" s="13"/>
      <c r="X170" s="13"/>
      <c r="Y170" s="13"/>
      <c r="Z170" s="9"/>
      <c r="AB170" t="str">
        <f t="shared" si="19"/>
        <v/>
      </c>
      <c r="AC170">
        <f t="shared" si="20"/>
        <v>0</v>
      </c>
      <c r="AD170">
        <f t="shared" si="21"/>
        <v>0</v>
      </c>
      <c r="AE170" t="str">
        <f t="shared" si="22"/>
        <v/>
      </c>
      <c r="AF170" t="str">
        <f t="shared" si="23"/>
        <v/>
      </c>
      <c r="AG170">
        <f t="shared" si="24"/>
        <v>0</v>
      </c>
      <c r="AH170" t="str">
        <f t="shared" si="25"/>
        <v/>
      </c>
      <c r="AI170" t="str">
        <f t="shared" si="26"/>
        <v/>
      </c>
    </row>
    <row r="171" spans="1:35" x14ac:dyDescent="0.25">
      <c r="A171" s="9"/>
      <c r="B171" s="9"/>
      <c r="C171" s="9"/>
      <c r="D171" s="9"/>
      <c r="E171" s="9"/>
      <c r="F171" s="9"/>
      <c r="G171" s="9"/>
      <c r="H171" s="10"/>
      <c r="I171" s="10"/>
      <c r="J171" s="9"/>
      <c r="K171" s="11"/>
      <c r="L171" s="11"/>
      <c r="M171" s="12" t="str">
        <f t="shared" si="18"/>
        <v/>
      </c>
      <c r="N171" s="13"/>
      <c r="O171" s="13"/>
      <c r="P171" s="13"/>
      <c r="Q171" s="13"/>
      <c r="R171" s="13"/>
      <c r="S171" s="13"/>
      <c r="T171" s="13"/>
      <c r="U171" s="13"/>
      <c r="V171" s="13"/>
      <c r="W171" s="13"/>
      <c r="X171" s="13"/>
      <c r="Y171" s="13"/>
      <c r="Z171" s="9"/>
      <c r="AB171" t="str">
        <f t="shared" si="19"/>
        <v/>
      </c>
      <c r="AC171">
        <f t="shared" si="20"/>
        <v>0</v>
      </c>
      <c r="AD171">
        <f t="shared" si="21"/>
        <v>0</v>
      </c>
      <c r="AE171" t="str">
        <f t="shared" si="22"/>
        <v/>
      </c>
      <c r="AF171" t="str">
        <f t="shared" si="23"/>
        <v/>
      </c>
      <c r="AG171">
        <f t="shared" si="24"/>
        <v>0</v>
      </c>
      <c r="AH171" t="str">
        <f t="shared" si="25"/>
        <v/>
      </c>
      <c r="AI171" t="str">
        <f t="shared" si="26"/>
        <v/>
      </c>
    </row>
    <row r="172" spans="1:35" x14ac:dyDescent="0.25">
      <c r="A172" s="9"/>
      <c r="B172" s="9"/>
      <c r="C172" s="9"/>
      <c r="D172" s="9"/>
      <c r="E172" s="9"/>
      <c r="F172" s="9"/>
      <c r="G172" s="9"/>
      <c r="H172" s="10"/>
      <c r="I172" s="10"/>
      <c r="J172" s="9"/>
      <c r="K172" s="11"/>
      <c r="L172" s="11"/>
      <c r="M172" s="12" t="str">
        <f t="shared" si="18"/>
        <v/>
      </c>
      <c r="N172" s="13"/>
      <c r="O172" s="13"/>
      <c r="P172" s="13"/>
      <c r="Q172" s="13"/>
      <c r="R172" s="13"/>
      <c r="S172" s="13"/>
      <c r="T172" s="13"/>
      <c r="U172" s="13"/>
      <c r="V172" s="13"/>
      <c r="W172" s="13"/>
      <c r="X172" s="13"/>
      <c r="Y172" s="13"/>
      <c r="Z172" s="9"/>
      <c r="AB172" t="str">
        <f t="shared" si="19"/>
        <v/>
      </c>
      <c r="AC172">
        <f t="shared" si="20"/>
        <v>0</v>
      </c>
      <c r="AD172">
        <f t="shared" si="21"/>
        <v>0</v>
      </c>
      <c r="AE172" t="str">
        <f t="shared" si="22"/>
        <v/>
      </c>
      <c r="AF172" t="str">
        <f t="shared" si="23"/>
        <v/>
      </c>
      <c r="AG172">
        <f t="shared" si="24"/>
        <v>0</v>
      </c>
      <c r="AH172" t="str">
        <f t="shared" si="25"/>
        <v/>
      </c>
      <c r="AI172" t="str">
        <f t="shared" si="26"/>
        <v/>
      </c>
    </row>
    <row r="173" spans="1:35" x14ac:dyDescent="0.25">
      <c r="A173" s="9"/>
      <c r="B173" s="9"/>
      <c r="C173" s="9"/>
      <c r="D173" s="9"/>
      <c r="E173" s="9"/>
      <c r="F173" s="9"/>
      <c r="G173" s="9"/>
      <c r="H173" s="10"/>
      <c r="I173" s="10"/>
      <c r="J173" s="9"/>
      <c r="K173" s="11"/>
      <c r="L173" s="11"/>
      <c r="M173" s="12" t="str">
        <f t="shared" si="18"/>
        <v/>
      </c>
      <c r="N173" s="13"/>
      <c r="O173" s="13"/>
      <c r="P173" s="13"/>
      <c r="Q173" s="13"/>
      <c r="R173" s="13"/>
      <c r="S173" s="13"/>
      <c r="T173" s="13"/>
      <c r="U173" s="13"/>
      <c r="V173" s="13"/>
      <c r="W173" s="13"/>
      <c r="X173" s="13"/>
      <c r="Y173" s="13"/>
      <c r="Z173" s="9"/>
      <c r="AB173" t="str">
        <f t="shared" si="19"/>
        <v/>
      </c>
      <c r="AC173">
        <f t="shared" si="20"/>
        <v>0</v>
      </c>
      <c r="AD173">
        <f t="shared" si="21"/>
        <v>0</v>
      </c>
      <c r="AE173" t="str">
        <f t="shared" si="22"/>
        <v/>
      </c>
      <c r="AF173" t="str">
        <f t="shared" si="23"/>
        <v/>
      </c>
      <c r="AG173">
        <f t="shared" si="24"/>
        <v>0</v>
      </c>
      <c r="AH173" t="str">
        <f t="shared" si="25"/>
        <v/>
      </c>
      <c r="AI173" t="str">
        <f t="shared" si="26"/>
        <v/>
      </c>
    </row>
    <row r="174" spans="1:35" x14ac:dyDescent="0.25">
      <c r="A174" s="9"/>
      <c r="B174" s="9"/>
      <c r="C174" s="9"/>
      <c r="D174" s="9"/>
      <c r="E174" s="9"/>
      <c r="F174" s="9"/>
      <c r="G174" s="9"/>
      <c r="H174" s="10"/>
      <c r="I174" s="10"/>
      <c r="J174" s="9"/>
      <c r="K174" s="11"/>
      <c r="L174" s="11"/>
      <c r="M174" s="12" t="str">
        <f t="shared" si="18"/>
        <v/>
      </c>
      <c r="N174" s="13"/>
      <c r="O174" s="13"/>
      <c r="P174" s="13"/>
      <c r="Q174" s="13"/>
      <c r="R174" s="13"/>
      <c r="S174" s="13"/>
      <c r="T174" s="13"/>
      <c r="U174" s="13"/>
      <c r="V174" s="13"/>
      <c r="W174" s="13"/>
      <c r="X174" s="13"/>
      <c r="Y174" s="13"/>
      <c r="Z174" s="9"/>
      <c r="AB174" t="str">
        <f t="shared" si="19"/>
        <v/>
      </c>
      <c r="AC174">
        <f t="shared" si="20"/>
        <v>0</v>
      </c>
      <c r="AD174">
        <f t="shared" si="21"/>
        <v>0</v>
      </c>
      <c r="AE174" t="str">
        <f t="shared" si="22"/>
        <v/>
      </c>
      <c r="AF174" t="str">
        <f t="shared" si="23"/>
        <v/>
      </c>
      <c r="AG174">
        <f t="shared" si="24"/>
        <v>0</v>
      </c>
      <c r="AH174" t="str">
        <f t="shared" si="25"/>
        <v/>
      </c>
      <c r="AI174" t="str">
        <f t="shared" si="26"/>
        <v/>
      </c>
    </row>
    <row r="175" spans="1:35" x14ac:dyDescent="0.25">
      <c r="A175" s="9"/>
      <c r="B175" s="9"/>
      <c r="C175" s="9"/>
      <c r="D175" s="9"/>
      <c r="E175" s="9"/>
      <c r="F175" s="9"/>
      <c r="G175" s="9"/>
      <c r="H175" s="10"/>
      <c r="I175" s="10"/>
      <c r="J175" s="9"/>
      <c r="K175" s="11"/>
      <c r="L175" s="11"/>
      <c r="M175" s="12" t="str">
        <f t="shared" si="18"/>
        <v/>
      </c>
      <c r="N175" s="13"/>
      <c r="O175" s="13"/>
      <c r="P175" s="13"/>
      <c r="Q175" s="13"/>
      <c r="R175" s="13"/>
      <c r="S175" s="13"/>
      <c r="T175" s="13"/>
      <c r="U175" s="13"/>
      <c r="V175" s="13"/>
      <c r="W175" s="13"/>
      <c r="X175" s="13"/>
      <c r="Y175" s="13"/>
      <c r="Z175" s="9"/>
      <c r="AB175" t="str">
        <f t="shared" si="19"/>
        <v/>
      </c>
      <c r="AC175">
        <f t="shared" si="20"/>
        <v>0</v>
      </c>
      <c r="AD175">
        <f t="shared" si="21"/>
        <v>0</v>
      </c>
      <c r="AE175" t="str">
        <f t="shared" si="22"/>
        <v/>
      </c>
      <c r="AF175" t="str">
        <f t="shared" si="23"/>
        <v/>
      </c>
      <c r="AG175">
        <f t="shared" si="24"/>
        <v>0</v>
      </c>
      <c r="AH175" t="str">
        <f t="shared" si="25"/>
        <v/>
      </c>
      <c r="AI175" t="str">
        <f t="shared" si="26"/>
        <v/>
      </c>
    </row>
    <row r="176" spans="1:35" x14ac:dyDescent="0.25">
      <c r="A176" s="9"/>
      <c r="B176" s="9"/>
      <c r="C176" s="9"/>
      <c r="D176" s="9"/>
      <c r="E176" s="9"/>
      <c r="F176" s="9"/>
      <c r="G176" s="9"/>
      <c r="H176" s="10"/>
      <c r="I176" s="10"/>
      <c r="J176" s="9"/>
      <c r="K176" s="11"/>
      <c r="L176" s="11"/>
      <c r="M176" s="12" t="str">
        <f t="shared" si="18"/>
        <v/>
      </c>
      <c r="N176" s="13"/>
      <c r="O176" s="13"/>
      <c r="P176" s="13"/>
      <c r="Q176" s="13"/>
      <c r="R176" s="13"/>
      <c r="S176" s="13"/>
      <c r="T176" s="13"/>
      <c r="U176" s="13"/>
      <c r="V176" s="13"/>
      <c r="W176" s="13"/>
      <c r="X176" s="13"/>
      <c r="Y176" s="13"/>
      <c r="Z176" s="9"/>
      <c r="AB176" t="str">
        <f t="shared" si="19"/>
        <v/>
      </c>
      <c r="AC176">
        <f t="shared" si="20"/>
        <v>0</v>
      </c>
      <c r="AD176">
        <f t="shared" si="21"/>
        <v>0</v>
      </c>
      <c r="AE176" t="str">
        <f t="shared" si="22"/>
        <v/>
      </c>
      <c r="AF176" t="str">
        <f t="shared" si="23"/>
        <v/>
      </c>
      <c r="AG176">
        <f t="shared" si="24"/>
        <v>0</v>
      </c>
      <c r="AH176" t="str">
        <f t="shared" si="25"/>
        <v/>
      </c>
      <c r="AI176" t="str">
        <f t="shared" si="26"/>
        <v/>
      </c>
    </row>
    <row r="177" spans="1:35" x14ac:dyDescent="0.25">
      <c r="A177" s="9"/>
      <c r="B177" s="9"/>
      <c r="C177" s="9"/>
      <c r="D177" s="9"/>
      <c r="E177" s="9"/>
      <c r="F177" s="9"/>
      <c r="G177" s="9"/>
      <c r="H177" s="10"/>
      <c r="I177" s="10"/>
      <c r="J177" s="9"/>
      <c r="K177" s="11"/>
      <c r="L177" s="11"/>
      <c r="M177" s="12" t="str">
        <f t="shared" si="18"/>
        <v/>
      </c>
      <c r="N177" s="13"/>
      <c r="O177" s="13"/>
      <c r="P177" s="13"/>
      <c r="Q177" s="13"/>
      <c r="R177" s="13"/>
      <c r="S177" s="13"/>
      <c r="T177" s="13"/>
      <c r="U177" s="13"/>
      <c r="V177" s="13"/>
      <c r="W177" s="13"/>
      <c r="X177" s="13"/>
      <c r="Y177" s="13"/>
      <c r="Z177" s="9"/>
      <c r="AB177" t="str">
        <f t="shared" si="19"/>
        <v/>
      </c>
      <c r="AC177">
        <f t="shared" si="20"/>
        <v>0</v>
      </c>
      <c r="AD177">
        <f t="shared" si="21"/>
        <v>0</v>
      </c>
      <c r="AE177" t="str">
        <f t="shared" si="22"/>
        <v/>
      </c>
      <c r="AF177" t="str">
        <f t="shared" si="23"/>
        <v/>
      </c>
      <c r="AG177">
        <f t="shared" si="24"/>
        <v>0</v>
      </c>
      <c r="AH177" t="str">
        <f t="shared" si="25"/>
        <v/>
      </c>
      <c r="AI177" t="str">
        <f t="shared" si="26"/>
        <v/>
      </c>
    </row>
    <row r="178" spans="1:35" x14ac:dyDescent="0.25">
      <c r="A178" s="9"/>
      <c r="B178" s="9"/>
      <c r="C178" s="9"/>
      <c r="D178" s="9"/>
      <c r="E178" s="9"/>
      <c r="F178" s="9"/>
      <c r="G178" s="9"/>
      <c r="H178" s="10"/>
      <c r="I178" s="10"/>
      <c r="J178" s="9"/>
      <c r="K178" s="11"/>
      <c r="L178" s="11"/>
      <c r="M178" s="12" t="str">
        <f t="shared" si="18"/>
        <v/>
      </c>
      <c r="N178" s="13"/>
      <c r="O178" s="13"/>
      <c r="P178" s="13"/>
      <c r="Q178" s="13"/>
      <c r="R178" s="13"/>
      <c r="S178" s="13"/>
      <c r="T178" s="13"/>
      <c r="U178" s="13"/>
      <c r="V178" s="13"/>
      <c r="W178" s="13"/>
      <c r="X178" s="13"/>
      <c r="Y178" s="13"/>
      <c r="Z178" s="9"/>
      <c r="AB178" t="str">
        <f t="shared" si="19"/>
        <v/>
      </c>
      <c r="AC178">
        <f t="shared" si="20"/>
        <v>0</v>
      </c>
      <c r="AD178">
        <f t="shared" si="21"/>
        <v>0</v>
      </c>
      <c r="AE178" t="str">
        <f t="shared" si="22"/>
        <v/>
      </c>
      <c r="AF178" t="str">
        <f t="shared" si="23"/>
        <v/>
      </c>
      <c r="AG178">
        <f t="shared" si="24"/>
        <v>0</v>
      </c>
      <c r="AH178" t="str">
        <f t="shared" si="25"/>
        <v/>
      </c>
      <c r="AI178" t="str">
        <f t="shared" si="26"/>
        <v/>
      </c>
    </row>
    <row r="179" spans="1:35" x14ac:dyDescent="0.25">
      <c r="A179" s="9"/>
      <c r="B179" s="9"/>
      <c r="C179" s="9"/>
      <c r="D179" s="9"/>
      <c r="E179" s="9"/>
      <c r="F179" s="9"/>
      <c r="G179" s="9"/>
      <c r="H179" s="10"/>
      <c r="I179" s="10"/>
      <c r="J179" s="9"/>
      <c r="K179" s="11"/>
      <c r="L179" s="11"/>
      <c r="M179" s="12" t="str">
        <f t="shared" si="18"/>
        <v/>
      </c>
      <c r="N179" s="13"/>
      <c r="O179" s="13"/>
      <c r="P179" s="13"/>
      <c r="Q179" s="13"/>
      <c r="R179" s="13"/>
      <c r="S179" s="13"/>
      <c r="T179" s="13"/>
      <c r="U179" s="13"/>
      <c r="V179" s="13"/>
      <c r="W179" s="13"/>
      <c r="X179" s="13"/>
      <c r="Y179" s="13"/>
      <c r="Z179" s="9"/>
      <c r="AB179" t="str">
        <f t="shared" si="19"/>
        <v/>
      </c>
      <c r="AC179">
        <f t="shared" si="20"/>
        <v>0</v>
      </c>
      <c r="AD179">
        <f t="shared" si="21"/>
        <v>0</v>
      </c>
      <c r="AE179" t="str">
        <f t="shared" si="22"/>
        <v/>
      </c>
      <c r="AF179" t="str">
        <f t="shared" si="23"/>
        <v/>
      </c>
      <c r="AG179">
        <f t="shared" si="24"/>
        <v>0</v>
      </c>
      <c r="AH179" t="str">
        <f t="shared" si="25"/>
        <v/>
      </c>
      <c r="AI179" t="str">
        <f t="shared" si="26"/>
        <v/>
      </c>
    </row>
    <row r="180" spans="1:35" x14ac:dyDescent="0.25">
      <c r="A180" s="9"/>
      <c r="B180" s="9"/>
      <c r="C180" s="9"/>
      <c r="D180" s="9"/>
      <c r="E180" s="9"/>
      <c r="F180" s="9"/>
      <c r="G180" s="9"/>
      <c r="H180" s="10"/>
      <c r="I180" s="10"/>
      <c r="J180" s="9"/>
      <c r="K180" s="11"/>
      <c r="L180" s="11"/>
      <c r="M180" s="12" t="str">
        <f t="shared" si="18"/>
        <v/>
      </c>
      <c r="N180" s="13"/>
      <c r="O180" s="13"/>
      <c r="P180" s="13"/>
      <c r="Q180" s="13"/>
      <c r="R180" s="13"/>
      <c r="S180" s="13"/>
      <c r="T180" s="13"/>
      <c r="U180" s="13"/>
      <c r="V180" s="13"/>
      <c r="W180" s="13"/>
      <c r="X180" s="13"/>
      <c r="Y180" s="13"/>
      <c r="Z180" s="9"/>
      <c r="AB180" t="str">
        <f t="shared" si="19"/>
        <v/>
      </c>
      <c r="AC180">
        <f t="shared" si="20"/>
        <v>0</v>
      </c>
      <c r="AD180">
        <f t="shared" si="21"/>
        <v>0</v>
      </c>
      <c r="AE180" t="str">
        <f t="shared" si="22"/>
        <v/>
      </c>
      <c r="AF180" t="str">
        <f t="shared" si="23"/>
        <v/>
      </c>
      <c r="AG180">
        <f t="shared" si="24"/>
        <v>0</v>
      </c>
      <c r="AH180" t="str">
        <f t="shared" si="25"/>
        <v/>
      </c>
      <c r="AI180" t="str">
        <f t="shared" si="26"/>
        <v/>
      </c>
    </row>
    <row r="181" spans="1:35" x14ac:dyDescent="0.25">
      <c r="A181" s="9"/>
      <c r="B181" s="9"/>
      <c r="C181" s="9"/>
      <c r="D181" s="9"/>
      <c r="E181" s="9"/>
      <c r="F181" s="9"/>
      <c r="G181" s="9"/>
      <c r="H181" s="10"/>
      <c r="I181" s="10"/>
      <c r="J181" s="9"/>
      <c r="K181" s="11"/>
      <c r="L181" s="11"/>
      <c r="M181" s="12" t="str">
        <f t="shared" si="18"/>
        <v/>
      </c>
      <c r="N181" s="13"/>
      <c r="O181" s="13"/>
      <c r="P181" s="13"/>
      <c r="Q181" s="13"/>
      <c r="R181" s="13"/>
      <c r="S181" s="13"/>
      <c r="T181" s="13"/>
      <c r="U181" s="13"/>
      <c r="V181" s="13"/>
      <c r="W181" s="13"/>
      <c r="X181" s="13"/>
      <c r="Y181" s="13"/>
      <c r="Z181" s="9"/>
      <c r="AB181" t="str">
        <f t="shared" si="19"/>
        <v/>
      </c>
      <c r="AC181">
        <f t="shared" si="20"/>
        <v>0</v>
      </c>
      <c r="AD181">
        <f t="shared" si="21"/>
        <v>0</v>
      </c>
      <c r="AE181" t="str">
        <f t="shared" si="22"/>
        <v/>
      </c>
      <c r="AF181" t="str">
        <f t="shared" si="23"/>
        <v/>
      </c>
      <c r="AG181">
        <f t="shared" si="24"/>
        <v>0</v>
      </c>
      <c r="AH181" t="str">
        <f t="shared" si="25"/>
        <v/>
      </c>
      <c r="AI181" t="str">
        <f t="shared" si="26"/>
        <v/>
      </c>
    </row>
    <row r="182" spans="1:35" x14ac:dyDescent="0.25">
      <c r="A182" s="9"/>
      <c r="B182" s="9"/>
      <c r="C182" s="9"/>
      <c r="D182" s="9"/>
      <c r="E182" s="9"/>
      <c r="F182" s="9"/>
      <c r="G182" s="9"/>
      <c r="H182" s="10"/>
      <c r="I182" s="10"/>
      <c r="J182" s="9"/>
      <c r="K182" s="11"/>
      <c r="L182" s="11"/>
      <c r="M182" s="12" t="str">
        <f t="shared" si="18"/>
        <v/>
      </c>
      <c r="N182" s="13"/>
      <c r="O182" s="13"/>
      <c r="P182" s="13"/>
      <c r="Q182" s="13"/>
      <c r="R182" s="13"/>
      <c r="S182" s="13"/>
      <c r="T182" s="13"/>
      <c r="U182" s="13"/>
      <c r="V182" s="13"/>
      <c r="W182" s="13"/>
      <c r="X182" s="13"/>
      <c r="Y182" s="13"/>
      <c r="Z182" s="9"/>
      <c r="AB182" t="str">
        <f t="shared" si="19"/>
        <v/>
      </c>
      <c r="AC182">
        <f t="shared" si="20"/>
        <v>0</v>
      </c>
      <c r="AD182">
        <f t="shared" si="21"/>
        <v>0</v>
      </c>
      <c r="AE182" t="str">
        <f t="shared" si="22"/>
        <v/>
      </c>
      <c r="AF182" t="str">
        <f t="shared" si="23"/>
        <v/>
      </c>
      <c r="AG182">
        <f t="shared" si="24"/>
        <v>0</v>
      </c>
      <c r="AH182" t="str">
        <f t="shared" si="25"/>
        <v/>
      </c>
      <c r="AI182" t="str">
        <f t="shared" si="26"/>
        <v/>
      </c>
    </row>
    <row r="183" spans="1:35" x14ac:dyDescent="0.25">
      <c r="A183" s="9"/>
      <c r="B183" s="9"/>
      <c r="C183" s="9"/>
      <c r="D183" s="9"/>
      <c r="E183" s="9"/>
      <c r="F183" s="9"/>
      <c r="G183" s="9"/>
      <c r="H183" s="10"/>
      <c r="I183" s="10"/>
      <c r="J183" s="9"/>
      <c r="K183" s="11"/>
      <c r="L183" s="11"/>
      <c r="M183" s="12" t="str">
        <f t="shared" si="18"/>
        <v/>
      </c>
      <c r="N183" s="13"/>
      <c r="O183" s="13"/>
      <c r="P183" s="13"/>
      <c r="Q183" s="13"/>
      <c r="R183" s="13"/>
      <c r="S183" s="13"/>
      <c r="T183" s="13"/>
      <c r="U183" s="13"/>
      <c r="V183" s="13"/>
      <c r="W183" s="13"/>
      <c r="X183" s="13"/>
      <c r="Y183" s="13"/>
      <c r="Z183" s="9"/>
      <c r="AB183" t="str">
        <f t="shared" si="19"/>
        <v/>
      </c>
      <c r="AC183">
        <f t="shared" si="20"/>
        <v>0</v>
      </c>
      <c r="AD183">
        <f t="shared" si="21"/>
        <v>0</v>
      </c>
      <c r="AE183" t="str">
        <f t="shared" si="22"/>
        <v/>
      </c>
      <c r="AF183" t="str">
        <f t="shared" si="23"/>
        <v/>
      </c>
      <c r="AG183">
        <f t="shared" si="24"/>
        <v>0</v>
      </c>
      <c r="AH183" t="str">
        <f t="shared" si="25"/>
        <v/>
      </c>
      <c r="AI183" t="str">
        <f t="shared" si="26"/>
        <v/>
      </c>
    </row>
    <row r="184" spans="1:35" x14ac:dyDescent="0.25">
      <c r="A184" s="9"/>
      <c r="B184" s="9"/>
      <c r="C184" s="9"/>
      <c r="D184" s="9"/>
      <c r="E184" s="9"/>
      <c r="F184" s="9"/>
      <c r="G184" s="9"/>
      <c r="H184" s="10"/>
      <c r="I184" s="10"/>
      <c r="J184" s="9"/>
      <c r="K184" s="11"/>
      <c r="L184" s="11"/>
      <c r="M184" s="12" t="str">
        <f t="shared" si="18"/>
        <v/>
      </c>
      <c r="N184" s="13"/>
      <c r="O184" s="13"/>
      <c r="P184" s="13"/>
      <c r="Q184" s="13"/>
      <c r="R184" s="13"/>
      <c r="S184" s="13"/>
      <c r="T184" s="13"/>
      <c r="U184" s="13"/>
      <c r="V184" s="13"/>
      <c r="W184" s="13"/>
      <c r="X184" s="13"/>
      <c r="Y184" s="13"/>
      <c r="Z184" s="9"/>
      <c r="AB184" t="str">
        <f t="shared" si="19"/>
        <v/>
      </c>
      <c r="AC184">
        <f t="shared" si="20"/>
        <v>0</v>
      </c>
      <c r="AD184">
        <f t="shared" si="21"/>
        <v>0</v>
      </c>
      <c r="AE184" t="str">
        <f t="shared" si="22"/>
        <v/>
      </c>
      <c r="AF184" t="str">
        <f t="shared" si="23"/>
        <v/>
      </c>
      <c r="AG184">
        <f t="shared" si="24"/>
        <v>0</v>
      </c>
      <c r="AH184" t="str">
        <f t="shared" si="25"/>
        <v/>
      </c>
      <c r="AI184" t="str">
        <f t="shared" si="26"/>
        <v/>
      </c>
    </row>
    <row r="185" spans="1:35" x14ac:dyDescent="0.25">
      <c r="A185" s="9"/>
      <c r="B185" s="9"/>
      <c r="C185" s="9"/>
      <c r="D185" s="9"/>
      <c r="E185" s="9"/>
      <c r="F185" s="9"/>
      <c r="G185" s="9"/>
      <c r="H185" s="10"/>
      <c r="I185" s="10"/>
      <c r="J185" s="9"/>
      <c r="K185" s="11"/>
      <c r="L185" s="11"/>
      <c r="M185" s="12" t="str">
        <f t="shared" si="18"/>
        <v/>
      </c>
      <c r="N185" s="13"/>
      <c r="O185" s="13"/>
      <c r="P185" s="13"/>
      <c r="Q185" s="13"/>
      <c r="R185" s="13"/>
      <c r="S185" s="13"/>
      <c r="T185" s="13"/>
      <c r="U185" s="13"/>
      <c r="V185" s="13"/>
      <c r="W185" s="13"/>
      <c r="X185" s="13"/>
      <c r="Y185" s="13"/>
      <c r="Z185" s="9"/>
      <c r="AB185" t="str">
        <f t="shared" si="19"/>
        <v/>
      </c>
      <c r="AC185">
        <f t="shared" si="20"/>
        <v>0</v>
      </c>
      <c r="AD185">
        <f t="shared" si="21"/>
        <v>0</v>
      </c>
      <c r="AE185" t="str">
        <f t="shared" si="22"/>
        <v/>
      </c>
      <c r="AF185" t="str">
        <f t="shared" si="23"/>
        <v/>
      </c>
      <c r="AG185">
        <f t="shared" si="24"/>
        <v>0</v>
      </c>
      <c r="AH185" t="str">
        <f t="shared" si="25"/>
        <v/>
      </c>
      <c r="AI185" t="str">
        <f t="shared" si="26"/>
        <v/>
      </c>
    </row>
    <row r="186" spans="1:35" x14ac:dyDescent="0.25">
      <c r="A186" s="9"/>
      <c r="B186" s="9"/>
      <c r="C186" s="9"/>
      <c r="D186" s="9"/>
      <c r="E186" s="9"/>
      <c r="F186" s="9"/>
      <c r="G186" s="9"/>
      <c r="H186" s="10"/>
      <c r="I186" s="10"/>
      <c r="J186" s="9"/>
      <c r="K186" s="11"/>
      <c r="L186" s="11"/>
      <c r="M186" s="12" t="str">
        <f t="shared" si="18"/>
        <v/>
      </c>
      <c r="N186" s="13"/>
      <c r="O186" s="13"/>
      <c r="P186" s="13"/>
      <c r="Q186" s="13"/>
      <c r="R186" s="13"/>
      <c r="S186" s="13"/>
      <c r="T186" s="13"/>
      <c r="U186" s="13"/>
      <c r="V186" s="13"/>
      <c r="W186" s="13"/>
      <c r="X186" s="13"/>
      <c r="Y186" s="13"/>
      <c r="Z186" s="9"/>
      <c r="AB186" t="str">
        <f t="shared" si="19"/>
        <v/>
      </c>
      <c r="AC186">
        <f t="shared" si="20"/>
        <v>0</v>
      </c>
      <c r="AD186">
        <f t="shared" si="21"/>
        <v>0</v>
      </c>
      <c r="AE186" t="str">
        <f t="shared" si="22"/>
        <v/>
      </c>
      <c r="AF186" t="str">
        <f t="shared" si="23"/>
        <v/>
      </c>
      <c r="AG186">
        <f t="shared" si="24"/>
        <v>0</v>
      </c>
      <c r="AH186" t="str">
        <f t="shared" si="25"/>
        <v/>
      </c>
      <c r="AI186" t="str">
        <f t="shared" si="26"/>
        <v/>
      </c>
    </row>
    <row r="187" spans="1:35" x14ac:dyDescent="0.25">
      <c r="A187" s="9"/>
      <c r="B187" s="9"/>
      <c r="C187" s="9"/>
      <c r="D187" s="9"/>
      <c r="E187" s="9"/>
      <c r="F187" s="9"/>
      <c r="G187" s="9"/>
      <c r="H187" s="10"/>
      <c r="I187" s="10"/>
      <c r="J187" s="9"/>
      <c r="K187" s="11"/>
      <c r="L187" s="11"/>
      <c r="M187" s="12" t="str">
        <f t="shared" si="18"/>
        <v/>
      </c>
      <c r="N187" s="13"/>
      <c r="O187" s="13"/>
      <c r="P187" s="13"/>
      <c r="Q187" s="13"/>
      <c r="R187" s="13"/>
      <c r="S187" s="13"/>
      <c r="T187" s="13"/>
      <c r="U187" s="13"/>
      <c r="V187" s="13"/>
      <c r="W187" s="13"/>
      <c r="X187" s="13"/>
      <c r="Y187" s="13"/>
      <c r="Z187" s="9"/>
      <c r="AB187" t="str">
        <f t="shared" si="19"/>
        <v/>
      </c>
      <c r="AC187">
        <f t="shared" si="20"/>
        <v>0</v>
      </c>
      <c r="AD187">
        <f t="shared" si="21"/>
        <v>0</v>
      </c>
      <c r="AE187" t="str">
        <f t="shared" si="22"/>
        <v/>
      </c>
      <c r="AF187" t="str">
        <f t="shared" si="23"/>
        <v/>
      </c>
      <c r="AG187">
        <f t="shared" si="24"/>
        <v>0</v>
      </c>
      <c r="AH187" t="str">
        <f t="shared" si="25"/>
        <v/>
      </c>
      <c r="AI187" t="str">
        <f t="shared" si="26"/>
        <v/>
      </c>
    </row>
    <row r="188" spans="1:35" x14ac:dyDescent="0.25">
      <c r="A188" s="9"/>
      <c r="B188" s="9"/>
      <c r="C188" s="9"/>
      <c r="D188" s="9"/>
      <c r="E188" s="9"/>
      <c r="F188" s="9"/>
      <c r="G188" s="9"/>
      <c r="H188" s="10"/>
      <c r="I188" s="10"/>
      <c r="J188" s="9"/>
      <c r="K188" s="11"/>
      <c r="L188" s="11"/>
      <c r="M188" s="12" t="str">
        <f t="shared" si="18"/>
        <v/>
      </c>
      <c r="N188" s="13"/>
      <c r="O188" s="13"/>
      <c r="P188" s="13"/>
      <c r="Q188" s="13"/>
      <c r="R188" s="13"/>
      <c r="S188" s="13"/>
      <c r="T188" s="13"/>
      <c r="U188" s="13"/>
      <c r="V188" s="13"/>
      <c r="W188" s="13"/>
      <c r="X188" s="13"/>
      <c r="Y188" s="13"/>
      <c r="Z188" s="9"/>
      <c r="AB188" t="str">
        <f t="shared" si="19"/>
        <v/>
      </c>
      <c r="AC188">
        <f t="shared" si="20"/>
        <v>0</v>
      </c>
      <c r="AD188">
        <f t="shared" si="21"/>
        <v>0</v>
      </c>
      <c r="AE188" t="str">
        <f t="shared" si="22"/>
        <v/>
      </c>
      <c r="AF188" t="str">
        <f t="shared" si="23"/>
        <v/>
      </c>
      <c r="AG188">
        <f t="shared" si="24"/>
        <v>0</v>
      </c>
      <c r="AH188" t="str">
        <f t="shared" si="25"/>
        <v/>
      </c>
      <c r="AI188" t="str">
        <f t="shared" si="26"/>
        <v/>
      </c>
    </row>
    <row r="189" spans="1:35" x14ac:dyDescent="0.25">
      <c r="A189" s="9"/>
      <c r="B189" s="9"/>
      <c r="C189" s="9"/>
      <c r="D189" s="9"/>
      <c r="E189" s="9"/>
      <c r="F189" s="9"/>
      <c r="G189" s="9"/>
      <c r="H189" s="10"/>
      <c r="I189" s="10"/>
      <c r="J189" s="9"/>
      <c r="K189" s="11"/>
      <c r="L189" s="11"/>
      <c r="M189" s="12" t="str">
        <f t="shared" si="18"/>
        <v/>
      </c>
      <c r="N189" s="13"/>
      <c r="O189" s="13"/>
      <c r="P189" s="13"/>
      <c r="Q189" s="13"/>
      <c r="R189" s="13"/>
      <c r="S189" s="13"/>
      <c r="T189" s="13"/>
      <c r="U189" s="13"/>
      <c r="V189" s="13"/>
      <c r="W189" s="13"/>
      <c r="X189" s="13"/>
      <c r="Y189" s="13"/>
      <c r="Z189" s="9"/>
      <c r="AB189" t="str">
        <f t="shared" si="19"/>
        <v/>
      </c>
      <c r="AC189">
        <f t="shared" si="20"/>
        <v>0</v>
      </c>
      <c r="AD189">
        <f t="shared" si="21"/>
        <v>0</v>
      </c>
      <c r="AE189" t="str">
        <f t="shared" si="22"/>
        <v/>
      </c>
      <c r="AF189" t="str">
        <f t="shared" si="23"/>
        <v/>
      </c>
      <c r="AG189">
        <f t="shared" si="24"/>
        <v>0</v>
      </c>
      <c r="AH189" t="str">
        <f t="shared" si="25"/>
        <v/>
      </c>
      <c r="AI189" t="str">
        <f t="shared" si="26"/>
        <v/>
      </c>
    </row>
    <row r="190" spans="1:35" x14ac:dyDescent="0.25">
      <c r="A190" s="9"/>
      <c r="B190" s="9"/>
      <c r="C190" s="9"/>
      <c r="D190" s="9"/>
      <c r="E190" s="9"/>
      <c r="F190" s="9"/>
      <c r="G190" s="9"/>
      <c r="H190" s="10"/>
      <c r="I190" s="10"/>
      <c r="J190" s="9"/>
      <c r="K190" s="11"/>
      <c r="L190" s="11"/>
      <c r="M190" s="12" t="str">
        <f t="shared" si="18"/>
        <v/>
      </c>
      <c r="N190" s="13"/>
      <c r="O190" s="13"/>
      <c r="P190" s="13"/>
      <c r="Q190" s="13"/>
      <c r="R190" s="13"/>
      <c r="S190" s="13"/>
      <c r="T190" s="13"/>
      <c r="U190" s="13"/>
      <c r="V190" s="13"/>
      <c r="W190" s="13"/>
      <c r="X190" s="13"/>
      <c r="Y190" s="13"/>
      <c r="Z190" s="9"/>
      <c r="AB190" t="str">
        <f t="shared" si="19"/>
        <v/>
      </c>
      <c r="AC190">
        <f t="shared" si="20"/>
        <v>0</v>
      </c>
      <c r="AD190">
        <f t="shared" si="21"/>
        <v>0</v>
      </c>
      <c r="AE190" t="str">
        <f t="shared" si="22"/>
        <v/>
      </c>
      <c r="AF190" t="str">
        <f t="shared" si="23"/>
        <v/>
      </c>
      <c r="AG190">
        <f t="shared" si="24"/>
        <v>0</v>
      </c>
      <c r="AH190" t="str">
        <f t="shared" si="25"/>
        <v/>
      </c>
      <c r="AI190" t="str">
        <f t="shared" si="26"/>
        <v/>
      </c>
    </row>
    <row r="191" spans="1:35" x14ac:dyDescent="0.25">
      <c r="A191" s="9"/>
      <c r="B191" s="9"/>
      <c r="C191" s="9"/>
      <c r="D191" s="9"/>
      <c r="E191" s="9"/>
      <c r="F191" s="9"/>
      <c r="G191" s="9"/>
      <c r="H191" s="10"/>
      <c r="I191" s="10"/>
      <c r="J191" s="9"/>
      <c r="K191" s="11"/>
      <c r="L191" s="11"/>
      <c r="M191" s="12" t="str">
        <f t="shared" si="18"/>
        <v/>
      </c>
      <c r="N191" s="13"/>
      <c r="O191" s="13"/>
      <c r="P191" s="13"/>
      <c r="Q191" s="13"/>
      <c r="R191" s="13"/>
      <c r="S191" s="13"/>
      <c r="T191" s="13"/>
      <c r="U191" s="13"/>
      <c r="V191" s="13"/>
      <c r="W191" s="13"/>
      <c r="X191" s="13"/>
      <c r="Y191" s="13"/>
      <c r="Z191" s="9"/>
      <c r="AB191" t="str">
        <f t="shared" si="19"/>
        <v/>
      </c>
      <c r="AC191">
        <f t="shared" si="20"/>
        <v>0</v>
      </c>
      <c r="AD191">
        <f t="shared" si="21"/>
        <v>0</v>
      </c>
      <c r="AE191" t="str">
        <f t="shared" si="22"/>
        <v/>
      </c>
      <c r="AF191" t="str">
        <f t="shared" si="23"/>
        <v/>
      </c>
      <c r="AG191">
        <f t="shared" si="24"/>
        <v>0</v>
      </c>
      <c r="AH191" t="str">
        <f t="shared" si="25"/>
        <v/>
      </c>
      <c r="AI191" t="str">
        <f t="shared" si="26"/>
        <v/>
      </c>
    </row>
    <row r="192" spans="1:35" x14ac:dyDescent="0.25">
      <c r="A192" s="9"/>
      <c r="B192" s="9"/>
      <c r="C192" s="9"/>
      <c r="D192" s="9"/>
      <c r="E192" s="9"/>
      <c r="F192" s="9"/>
      <c r="G192" s="9"/>
      <c r="H192" s="10"/>
      <c r="I192" s="10"/>
      <c r="J192" s="9"/>
      <c r="K192" s="11"/>
      <c r="L192" s="11"/>
      <c r="M192" s="12" t="str">
        <f t="shared" si="18"/>
        <v/>
      </c>
      <c r="N192" s="13"/>
      <c r="O192" s="13"/>
      <c r="P192" s="13"/>
      <c r="Q192" s="13"/>
      <c r="R192" s="13"/>
      <c r="S192" s="13"/>
      <c r="T192" s="13"/>
      <c r="U192" s="13"/>
      <c r="V192" s="13"/>
      <c r="W192" s="13"/>
      <c r="X192" s="13"/>
      <c r="Y192" s="13"/>
      <c r="Z192" s="9"/>
      <c r="AB192" t="str">
        <f t="shared" si="19"/>
        <v/>
      </c>
      <c r="AC192">
        <f t="shared" si="20"/>
        <v>0</v>
      </c>
      <c r="AD192">
        <f t="shared" si="21"/>
        <v>0</v>
      </c>
      <c r="AE192" t="str">
        <f t="shared" si="22"/>
        <v/>
      </c>
      <c r="AF192" t="str">
        <f t="shared" si="23"/>
        <v/>
      </c>
      <c r="AG192">
        <f t="shared" si="24"/>
        <v>0</v>
      </c>
      <c r="AH192" t="str">
        <f t="shared" si="25"/>
        <v/>
      </c>
      <c r="AI192" t="str">
        <f t="shared" si="26"/>
        <v/>
      </c>
    </row>
    <row r="193" spans="1:35" x14ac:dyDescent="0.25">
      <c r="A193" s="9"/>
      <c r="B193" s="9"/>
      <c r="C193" s="9"/>
      <c r="D193" s="9"/>
      <c r="E193" s="9"/>
      <c r="F193" s="9"/>
      <c r="G193" s="9"/>
      <c r="H193" s="10"/>
      <c r="I193" s="10"/>
      <c r="J193" s="9"/>
      <c r="K193" s="11"/>
      <c r="L193" s="11"/>
      <c r="M193" s="12" t="str">
        <f t="shared" si="18"/>
        <v/>
      </c>
      <c r="N193" s="13"/>
      <c r="O193" s="13"/>
      <c r="P193" s="13"/>
      <c r="Q193" s="13"/>
      <c r="R193" s="13"/>
      <c r="S193" s="13"/>
      <c r="T193" s="13"/>
      <c r="U193" s="13"/>
      <c r="V193" s="13"/>
      <c r="W193" s="13"/>
      <c r="X193" s="13"/>
      <c r="Y193" s="13"/>
      <c r="Z193" s="9"/>
      <c r="AB193" t="str">
        <f t="shared" si="19"/>
        <v/>
      </c>
      <c r="AC193">
        <f t="shared" si="20"/>
        <v>0</v>
      </c>
      <c r="AD193">
        <f t="shared" si="21"/>
        <v>0</v>
      </c>
      <c r="AE193" t="str">
        <f t="shared" si="22"/>
        <v/>
      </c>
      <c r="AF193" t="str">
        <f t="shared" si="23"/>
        <v/>
      </c>
      <c r="AG193">
        <f t="shared" si="24"/>
        <v>0</v>
      </c>
      <c r="AH193" t="str">
        <f t="shared" si="25"/>
        <v/>
      </c>
      <c r="AI193" t="str">
        <f t="shared" si="26"/>
        <v/>
      </c>
    </row>
    <row r="194" spans="1:35" x14ac:dyDescent="0.25">
      <c r="A194" s="9"/>
      <c r="B194" s="9"/>
      <c r="C194" s="9"/>
      <c r="D194" s="9"/>
      <c r="E194" s="9"/>
      <c r="F194" s="9"/>
      <c r="G194" s="9"/>
      <c r="H194" s="10"/>
      <c r="I194" s="10"/>
      <c r="J194" s="9"/>
      <c r="K194" s="11"/>
      <c r="L194" s="11"/>
      <c r="M194" s="12" t="str">
        <f t="shared" si="18"/>
        <v/>
      </c>
      <c r="N194" s="13"/>
      <c r="O194" s="13"/>
      <c r="P194" s="13"/>
      <c r="Q194" s="13"/>
      <c r="R194" s="13"/>
      <c r="S194" s="13"/>
      <c r="T194" s="13"/>
      <c r="U194" s="13"/>
      <c r="V194" s="13"/>
      <c r="W194" s="13"/>
      <c r="X194" s="13"/>
      <c r="Y194" s="13"/>
      <c r="Z194" s="9"/>
      <c r="AB194" t="str">
        <f t="shared" si="19"/>
        <v/>
      </c>
      <c r="AC194">
        <f t="shared" si="20"/>
        <v>0</v>
      </c>
      <c r="AD194">
        <f t="shared" si="21"/>
        <v>0</v>
      </c>
      <c r="AE194" t="str">
        <f t="shared" si="22"/>
        <v/>
      </c>
      <c r="AF194" t="str">
        <f t="shared" si="23"/>
        <v/>
      </c>
      <c r="AG194">
        <f t="shared" si="24"/>
        <v>0</v>
      </c>
      <c r="AH194" t="str">
        <f t="shared" si="25"/>
        <v/>
      </c>
      <c r="AI194" t="str">
        <f t="shared" si="26"/>
        <v/>
      </c>
    </row>
    <row r="195" spans="1:35" x14ac:dyDescent="0.25">
      <c r="A195" s="9"/>
      <c r="B195" s="9"/>
      <c r="C195" s="9"/>
      <c r="D195" s="9"/>
      <c r="E195" s="9"/>
      <c r="F195" s="9"/>
      <c r="G195" s="9"/>
      <c r="H195" s="10"/>
      <c r="I195" s="10"/>
      <c r="J195" s="9"/>
      <c r="K195" s="11"/>
      <c r="L195" s="11"/>
      <c r="M195" s="12" t="str">
        <f t="shared" si="18"/>
        <v/>
      </c>
      <c r="N195" s="13"/>
      <c r="O195" s="13"/>
      <c r="P195" s="13"/>
      <c r="Q195" s="13"/>
      <c r="R195" s="13"/>
      <c r="S195" s="13"/>
      <c r="T195" s="13"/>
      <c r="U195" s="13"/>
      <c r="V195" s="13"/>
      <c r="W195" s="13"/>
      <c r="X195" s="13"/>
      <c r="Y195" s="13"/>
      <c r="Z195" s="9"/>
      <c r="AB195" t="str">
        <f t="shared" si="19"/>
        <v/>
      </c>
      <c r="AC195">
        <f t="shared" si="20"/>
        <v>0</v>
      </c>
      <c r="AD195">
        <f t="shared" si="21"/>
        <v>0</v>
      </c>
      <c r="AE195" t="str">
        <f t="shared" si="22"/>
        <v/>
      </c>
      <c r="AF195" t="str">
        <f t="shared" si="23"/>
        <v/>
      </c>
      <c r="AG195">
        <f t="shared" si="24"/>
        <v>0</v>
      </c>
      <c r="AH195" t="str">
        <f t="shared" si="25"/>
        <v/>
      </c>
      <c r="AI195" t="str">
        <f t="shared" si="26"/>
        <v/>
      </c>
    </row>
    <row r="196" spans="1:35" x14ac:dyDescent="0.25">
      <c r="A196" s="9"/>
      <c r="B196" s="9"/>
      <c r="C196" s="9"/>
      <c r="D196" s="9"/>
      <c r="E196" s="9"/>
      <c r="F196" s="9"/>
      <c r="G196" s="9"/>
      <c r="H196" s="10"/>
      <c r="I196" s="10"/>
      <c r="J196" s="9"/>
      <c r="K196" s="11"/>
      <c r="L196" s="11"/>
      <c r="M196" s="12" t="str">
        <f t="shared" si="18"/>
        <v/>
      </c>
      <c r="N196" s="13"/>
      <c r="O196" s="13"/>
      <c r="P196" s="13"/>
      <c r="Q196" s="13"/>
      <c r="R196" s="13"/>
      <c r="S196" s="13"/>
      <c r="T196" s="13"/>
      <c r="U196" s="13"/>
      <c r="V196" s="13"/>
      <c r="W196" s="13"/>
      <c r="X196" s="13"/>
      <c r="Y196" s="13"/>
      <c r="Z196" s="9"/>
      <c r="AB196" t="str">
        <f t="shared" si="19"/>
        <v/>
      </c>
      <c r="AC196">
        <f t="shared" si="20"/>
        <v>0</v>
      </c>
      <c r="AD196">
        <f t="shared" si="21"/>
        <v>0</v>
      </c>
      <c r="AE196" t="str">
        <f t="shared" si="22"/>
        <v/>
      </c>
      <c r="AF196" t="str">
        <f t="shared" si="23"/>
        <v/>
      </c>
      <c r="AG196">
        <f t="shared" si="24"/>
        <v>0</v>
      </c>
      <c r="AH196" t="str">
        <f t="shared" si="25"/>
        <v/>
      </c>
      <c r="AI196" t="str">
        <f t="shared" si="26"/>
        <v/>
      </c>
    </row>
    <row r="197" spans="1:35" x14ac:dyDescent="0.25">
      <c r="A197" s="9"/>
      <c r="B197" s="9"/>
      <c r="C197" s="9"/>
      <c r="D197" s="9"/>
      <c r="E197" s="9"/>
      <c r="F197" s="9"/>
      <c r="G197" s="9"/>
      <c r="H197" s="10"/>
      <c r="I197" s="10"/>
      <c r="J197" s="9"/>
      <c r="K197" s="11"/>
      <c r="L197" s="11"/>
      <c r="M197" s="12" t="str">
        <f t="shared" si="18"/>
        <v/>
      </c>
      <c r="N197" s="13"/>
      <c r="O197" s="13"/>
      <c r="P197" s="13"/>
      <c r="Q197" s="13"/>
      <c r="R197" s="13"/>
      <c r="S197" s="13"/>
      <c r="T197" s="13"/>
      <c r="U197" s="13"/>
      <c r="V197" s="13"/>
      <c r="W197" s="13"/>
      <c r="X197" s="13"/>
      <c r="Y197" s="13"/>
      <c r="Z197" s="9"/>
      <c r="AB197" t="str">
        <f t="shared" si="19"/>
        <v/>
      </c>
      <c r="AC197">
        <f t="shared" si="20"/>
        <v>0</v>
      </c>
      <c r="AD197">
        <f t="shared" si="21"/>
        <v>0</v>
      </c>
      <c r="AE197" t="str">
        <f t="shared" si="22"/>
        <v/>
      </c>
      <c r="AF197" t="str">
        <f t="shared" si="23"/>
        <v/>
      </c>
      <c r="AG197">
        <f t="shared" si="24"/>
        <v>0</v>
      </c>
      <c r="AH197" t="str">
        <f t="shared" si="25"/>
        <v/>
      </c>
      <c r="AI197" t="str">
        <f t="shared" si="26"/>
        <v/>
      </c>
    </row>
    <row r="198" spans="1:35" x14ac:dyDescent="0.25">
      <c r="A198" s="9"/>
      <c r="B198" s="9"/>
      <c r="C198" s="9"/>
      <c r="D198" s="9"/>
      <c r="E198" s="9"/>
      <c r="F198" s="9"/>
      <c r="G198" s="9"/>
      <c r="H198" s="10"/>
      <c r="I198" s="10"/>
      <c r="J198" s="9"/>
      <c r="K198" s="11"/>
      <c r="L198" s="11"/>
      <c r="M198" s="12" t="str">
        <f t="shared" si="18"/>
        <v/>
      </c>
      <c r="N198" s="13"/>
      <c r="O198" s="13"/>
      <c r="P198" s="13"/>
      <c r="Q198" s="13"/>
      <c r="R198" s="13"/>
      <c r="S198" s="13"/>
      <c r="T198" s="13"/>
      <c r="U198" s="13"/>
      <c r="V198" s="13"/>
      <c r="W198" s="13"/>
      <c r="X198" s="13"/>
      <c r="Y198" s="13"/>
      <c r="Z198" s="9"/>
      <c r="AB198" t="str">
        <f t="shared" si="19"/>
        <v/>
      </c>
      <c r="AC198">
        <f t="shared" si="20"/>
        <v>0</v>
      </c>
      <c r="AD198">
        <f t="shared" si="21"/>
        <v>0</v>
      </c>
      <c r="AE198" t="str">
        <f t="shared" si="22"/>
        <v/>
      </c>
      <c r="AF198" t="str">
        <f t="shared" si="23"/>
        <v/>
      </c>
      <c r="AG198">
        <f t="shared" si="24"/>
        <v>0</v>
      </c>
      <c r="AH198" t="str">
        <f t="shared" si="25"/>
        <v/>
      </c>
      <c r="AI198" t="str">
        <f t="shared" si="26"/>
        <v/>
      </c>
    </row>
    <row r="199" spans="1:35" x14ac:dyDescent="0.25">
      <c r="A199" s="9"/>
      <c r="B199" s="9"/>
      <c r="C199" s="9"/>
      <c r="D199" s="9"/>
      <c r="E199" s="9"/>
      <c r="F199" s="9"/>
      <c r="G199" s="9"/>
      <c r="H199" s="10"/>
      <c r="I199" s="10"/>
      <c r="J199" s="9"/>
      <c r="K199" s="11"/>
      <c r="L199" s="11"/>
      <c r="M199" s="12" t="str">
        <f t="shared" si="18"/>
        <v/>
      </c>
      <c r="N199" s="13"/>
      <c r="O199" s="13"/>
      <c r="P199" s="13"/>
      <c r="Q199" s="13"/>
      <c r="R199" s="13"/>
      <c r="S199" s="13"/>
      <c r="T199" s="13"/>
      <c r="U199" s="13"/>
      <c r="V199" s="13"/>
      <c r="W199" s="13"/>
      <c r="X199" s="13"/>
      <c r="Y199" s="13"/>
      <c r="Z199" s="9"/>
      <c r="AB199" t="str">
        <f t="shared" si="19"/>
        <v/>
      </c>
      <c r="AC199">
        <f t="shared" si="20"/>
        <v>0</v>
      </c>
      <c r="AD199">
        <f t="shared" si="21"/>
        <v>0</v>
      </c>
      <c r="AE199" t="str">
        <f t="shared" si="22"/>
        <v/>
      </c>
      <c r="AF199" t="str">
        <f t="shared" si="23"/>
        <v/>
      </c>
      <c r="AG199">
        <f t="shared" si="24"/>
        <v>0</v>
      </c>
      <c r="AH199" t="str">
        <f t="shared" si="25"/>
        <v/>
      </c>
      <c r="AI199" t="str">
        <f t="shared" si="26"/>
        <v/>
      </c>
    </row>
    <row r="200" spans="1:35" x14ac:dyDescent="0.25">
      <c r="A200" s="9"/>
      <c r="B200" s="9"/>
      <c r="C200" s="9"/>
      <c r="D200" s="9"/>
      <c r="E200" s="9"/>
      <c r="F200" s="9"/>
      <c r="G200" s="9"/>
      <c r="H200" s="10"/>
      <c r="I200" s="10"/>
      <c r="J200" s="9"/>
      <c r="K200" s="11"/>
      <c r="L200" s="11"/>
      <c r="M200" s="12" t="str">
        <f t="shared" si="18"/>
        <v/>
      </c>
      <c r="N200" s="13"/>
      <c r="O200" s="13"/>
      <c r="P200" s="13"/>
      <c r="Q200" s="13"/>
      <c r="R200" s="13"/>
      <c r="S200" s="13"/>
      <c r="T200" s="13"/>
      <c r="U200" s="13"/>
      <c r="V200" s="13"/>
      <c r="W200" s="13"/>
      <c r="X200" s="13"/>
      <c r="Y200" s="13"/>
      <c r="Z200" s="9"/>
      <c r="AB200" t="str">
        <f t="shared" si="19"/>
        <v/>
      </c>
      <c r="AC200">
        <f t="shared" si="20"/>
        <v>0</v>
      </c>
      <c r="AD200">
        <f t="shared" si="21"/>
        <v>0</v>
      </c>
      <c r="AE200" t="str">
        <f t="shared" si="22"/>
        <v/>
      </c>
      <c r="AF200" t="str">
        <f t="shared" si="23"/>
        <v/>
      </c>
      <c r="AG200">
        <f t="shared" si="24"/>
        <v>0</v>
      </c>
      <c r="AH200" t="str">
        <f t="shared" si="25"/>
        <v/>
      </c>
      <c r="AI200" t="str">
        <f t="shared" si="26"/>
        <v/>
      </c>
    </row>
    <row r="201" spans="1:35" x14ac:dyDescent="0.25">
      <c r="A201" s="9"/>
      <c r="B201" s="9"/>
      <c r="C201" s="9"/>
      <c r="D201" s="9"/>
      <c r="E201" s="9"/>
      <c r="F201" s="9"/>
      <c r="G201" s="9"/>
      <c r="H201" s="10"/>
      <c r="I201" s="10"/>
      <c r="J201" s="9"/>
      <c r="K201" s="11"/>
      <c r="L201" s="11"/>
      <c r="M201" s="12" t="str">
        <f t="shared" si="18"/>
        <v/>
      </c>
      <c r="N201" s="13"/>
      <c r="O201" s="13"/>
      <c r="P201" s="13"/>
      <c r="Q201" s="13"/>
      <c r="R201" s="13"/>
      <c r="S201" s="13"/>
      <c r="T201" s="13"/>
      <c r="U201" s="13"/>
      <c r="V201" s="13"/>
      <c r="W201" s="13"/>
      <c r="X201" s="13"/>
      <c r="Y201" s="13"/>
      <c r="Z201" s="9"/>
      <c r="AB201" t="str">
        <f t="shared" si="19"/>
        <v/>
      </c>
      <c r="AC201">
        <f t="shared" si="20"/>
        <v>0</v>
      </c>
      <c r="AD201">
        <f t="shared" si="21"/>
        <v>0</v>
      </c>
      <c r="AE201" t="str">
        <f t="shared" si="22"/>
        <v/>
      </c>
      <c r="AF201" t="str">
        <f t="shared" si="23"/>
        <v/>
      </c>
      <c r="AG201">
        <f t="shared" si="24"/>
        <v>0</v>
      </c>
      <c r="AH201" t="str">
        <f t="shared" si="25"/>
        <v/>
      </c>
      <c r="AI201" t="str">
        <f t="shared" si="26"/>
        <v/>
      </c>
    </row>
    <row r="202" spans="1:35" x14ac:dyDescent="0.25">
      <c r="A202" s="9"/>
      <c r="B202" s="9"/>
      <c r="C202" s="9"/>
      <c r="D202" s="9"/>
      <c r="E202" s="9"/>
      <c r="F202" s="9"/>
      <c r="G202" s="9"/>
      <c r="H202" s="10"/>
      <c r="I202" s="10"/>
      <c r="J202" s="9"/>
      <c r="K202" s="11"/>
      <c r="L202" s="11"/>
      <c r="M202" s="12" t="str">
        <f t="shared" si="18"/>
        <v/>
      </c>
      <c r="N202" s="13"/>
      <c r="O202" s="13"/>
      <c r="P202" s="13"/>
      <c r="Q202" s="13"/>
      <c r="R202" s="13"/>
      <c r="S202" s="13"/>
      <c r="T202" s="13"/>
      <c r="U202" s="13"/>
      <c r="V202" s="13"/>
      <c r="W202" s="13"/>
      <c r="X202" s="13"/>
      <c r="Y202" s="13"/>
      <c r="Z202" s="9"/>
      <c r="AB202" t="str">
        <f t="shared" si="19"/>
        <v/>
      </c>
      <c r="AC202">
        <f t="shared" si="20"/>
        <v>0</v>
      </c>
      <c r="AD202">
        <f t="shared" si="21"/>
        <v>0</v>
      </c>
      <c r="AE202" t="str">
        <f t="shared" si="22"/>
        <v/>
      </c>
      <c r="AF202" t="str">
        <f t="shared" si="23"/>
        <v/>
      </c>
      <c r="AG202">
        <f t="shared" si="24"/>
        <v>0</v>
      </c>
      <c r="AH202" t="str">
        <f t="shared" si="25"/>
        <v/>
      </c>
      <c r="AI202" t="str">
        <f t="shared" si="26"/>
        <v/>
      </c>
    </row>
    <row r="203" spans="1:35" x14ac:dyDescent="0.25">
      <c r="A203" s="9"/>
      <c r="B203" s="9"/>
      <c r="C203" s="9"/>
      <c r="D203" s="9"/>
      <c r="E203" s="9"/>
      <c r="F203" s="9"/>
      <c r="G203" s="9"/>
      <c r="H203" s="10"/>
      <c r="I203" s="10"/>
      <c r="J203" s="9"/>
      <c r="K203" s="11"/>
      <c r="L203" s="11"/>
      <c r="M203" s="12" t="str">
        <f t="shared" ref="M203:M266" si="27">IF(AB203="","",IF(AE203&lt;&gt;"","⚠ "&amp;AE203,"✔ "&amp;AI203&amp;IF(AG203&gt;0," · ⚠ "&amp;AG203&amp;IF(AG203=1," fecha cae"," fechas caen")&amp;" en festivo"&amp;IF(OR(AB203="Un día",AB203="Fechas específicas"),": revise la fecha",": se pasará al día hábil siguiente"),"")))</f>
        <v/>
      </c>
      <c r="N203" s="13"/>
      <c r="O203" s="13"/>
      <c r="P203" s="13"/>
      <c r="Q203" s="13"/>
      <c r="R203" s="13"/>
      <c r="S203" s="13"/>
      <c r="T203" s="13"/>
      <c r="U203" s="13"/>
      <c r="V203" s="13"/>
      <c r="W203" s="13"/>
      <c r="X203" s="13"/>
      <c r="Y203" s="13"/>
      <c r="Z203" s="9"/>
      <c r="AB203" t="str">
        <f t="shared" ref="AB203:AB266" si="28">IF(COUNTA(A203:L203,N203:Y203)=0,"",IF(OR(J203="En fechas específicas",AND(OR(J203="",J203="No"),K203="",COUNT(N203:Y203)&gt;0)),"Fechas específicas",IF(OR(J203="",J203="No"),IF(OR(L203="",L203=K203),"Un día","Varios días"),J203)))</f>
        <v/>
      </c>
      <c r="AC203">
        <f t="shared" ref="AC203:AC266" si="29">IF(AB203="Cada mes",1,IF(AB203="Cada 2 meses",2,IF(AB203="Cada 3 meses",3,IF(AB203="Cada 6 meses",6,0))))</f>
        <v>0</v>
      </c>
      <c r="AD203">
        <f t="shared" ref="AD203:AD266" si="30">IF(ISNUMBER(K203),INT((DAY(K203)-1)/7)+1,0)</f>
        <v>0</v>
      </c>
      <c r="AE203" t="str">
        <f t="shared" ref="AE203:AE266" si="31">IF(AB203="","",IF(A203="","Falta el nombre de la actividad",IF(B203="","Falta la categoría",IF(COUNTIF(Lista_Categoria,B203)=0,"Elija la categoría de la lista",IF(AND(F203="",_xlfn.SINGLE(SedePrincipal)=""),"Falta la sede: elíjala aquí o en «Datos del área»",IF(AND(F203&lt;&gt;"",COUNTIF(Lista_Sede,F203)=0),"Elija la sede de la lista",IF(AND(E203="",_xlfn.SINGLE(CalendarioPrincipal)=""),"Falta el calendario (Académico o Administrativo): elíjalo aquí o en «Datos del área»",IF(AND(E203&lt;&gt;"",COUNTIF(Lista_Calendario,E203)=0),"Elija el calendario de la lista",IF(G203="","Falta el lugar",IF(OR(AND(H203&lt;&gt;"",NOT(ISNUMBER(H203))),AND(I203&lt;&gt;"",NOT(ISNUMBER(I203)))),"Hora no válida: use hh:mm (ej. 14:30)",IF(AND(ISNUMBER(H203),ISNUMBER(I203),I203&lt;H203),"La hora fin es antes de la hora inicio",IF(AND(J203&lt;&gt;"",COUNTIF(Lista_Repite,J203)=0),"Elija una opción de la lista «¿Se repite?»",IF(AB203="Fechas específicas",IF(COUNTA(N203:Y203)&lt;&gt;COUNT(N203:Y203),"Alguna fecha de Fecha 1 a Fecha 12 no es válida: use dd/mm/aaaa",IF(COUNT(N203:Y203)=0,"Escriba las fechas en Fecha 1, Fecha 2…","")),IF(COUNTA(N203:Y203)&gt;0,"Escribió fechas en Fecha 1…12: elija «En fechas específicas» o bórrelas",IF(K203="","Falta la fecha en «Desde»",IF(NOT(ISNUMBER(K203)),"La fecha «Desde» no es válida: use dd/mm/aaaa",IF(AND(L203&lt;&gt;"",NOT(ISNUMBER(L203))),"La fecha «Hasta» no es válida: use dd/mm/aaaa",IF(AND(ISNUMBER(L203),L203&lt;K203),"«Hasta» es antes de «Desde»",IF(AND(AB203&lt;&gt;"Un día",AB203&lt;&gt;"Varios días",L203=""),"Falta «Hasta»: la última fecha en que se repite",IF(AND(ISNUMBER(L203),L203-K203&gt;730),"El periodo no puede pasar de 2 años",""))))))))))))))))))))</f>
        <v/>
      </c>
      <c r="AF203" t="str">
        <f t="shared" ref="AF203:AF266" si="32">IF(OR(AB203="",AE203&lt;&gt;""),"",IF(AB203="Fechas específicas",COUNT(N203:Y203),IF(OR(AB203="Un día",AB203="Varios días"),1,SUMPRODUCT((Dias&lt;=L203-K203)*((AB203="Cada semana")*(MOD(Dias,7)=0)+(AB203="Cada 15 días")*(MOD(Dias,14)=0)+(AC203&gt;0)*(WEEKDAY(K203+Dias)=WEEKDAY(K203))*((AD203=5)*(MONTH(K203+Dias+7)&lt;&gt;MONTH(K203+Dias))+(AD203&lt;5)*(INT((DAY(K203+Dias)-1)/7)+1=AD203))*(MOD((YEAR(K203+Dias)-YEAR(K203))*12+MONTH(K203+Dias)-MONTH(K203),MAX(AC203,1))=0))))))</f>
        <v/>
      </c>
      <c r="AG203">
        <f t="shared" ref="AG203:AG266" si="33">IF(AF203="",0,IF(AB203="Fechas específicas",SUMPRODUCT(COUNTIF(Festivos,N203:Y203)),IF(AB203="Un día",COUNTIF(Festivos,K203),IF(AB203="Varios días",0,SUMPRODUCT((Dias&lt;=L203-K203)*((AB203="Cada semana")*(MOD(Dias,7)=0)+(AB203="Cada 15 días")*(MOD(Dias,14)=0)+(AC203&gt;0)*(WEEKDAY(K203+Dias)=WEEKDAY(K203))*((AD203=5)*(MONTH(K203+Dias+7)&lt;&gt;MONTH(K203+Dias))+(AD203&lt;5)*(INT((DAY(K203+Dias)-1)/7)+1=AD203))*(MOD((YEAR(K203+Dias)-YEAR(K203))*12+MONTH(K203+Dias)-MONTH(K203),MAX(AC203,1))=0))*COUNTIF(Festivos,K203+Dias))))))</f>
        <v>0</v>
      </c>
      <c r="AH203" t="str">
        <f t="shared" ref="AH203:AH266" si="34">IF(AB203&lt;&gt;"Fechas específicas","",IF(ISNUMBER(N203),DAY(N203)&amp;" "&amp;CHOOSE(MONTH(N203),"ene","feb","mar","abr","may","jun","jul","ago","sep","oct","nov","dic")&amp;", ","")&amp;IF(ISNUMBER(O203),DAY(O203)&amp;" "&amp;CHOOSE(MONTH(O203),"ene","feb","mar","abr","may","jun","jul","ago","sep","oct","nov","dic")&amp;", ","")&amp;IF(ISNUMBER(P203),DAY(P203)&amp;" "&amp;CHOOSE(MONTH(P203),"ene","feb","mar","abr","may","jun","jul","ago","sep","oct","nov","dic")&amp;", ","")&amp;IF(ISNUMBER(Q203),DAY(Q203)&amp;" "&amp;CHOOSE(MONTH(Q203),"ene","feb","mar","abr","may","jun","jul","ago","sep","oct","nov","dic")&amp;", ","")&amp;IF(ISNUMBER(R203),DAY(R203)&amp;" "&amp;CHOOSE(MONTH(R203),"ene","feb","mar","abr","may","jun","jul","ago","sep","oct","nov","dic")&amp;", ","")&amp;IF(ISNUMBER(S203),DAY(S203)&amp;" "&amp;CHOOSE(MONTH(S203),"ene","feb","mar","abr","may","jun","jul","ago","sep","oct","nov","dic")&amp;", ","")&amp;IF(ISNUMBER(T203),DAY(T203)&amp;" "&amp;CHOOSE(MONTH(T203),"ene","feb","mar","abr","may","jun","jul","ago","sep","oct","nov","dic")&amp;", ","")&amp;IF(ISNUMBER(U203),DAY(U203)&amp;" "&amp;CHOOSE(MONTH(U203),"ene","feb","mar","abr","may","jun","jul","ago","sep","oct","nov","dic")&amp;", ","")&amp;IF(ISNUMBER(V203),DAY(V203)&amp;" "&amp;CHOOSE(MONTH(V203),"ene","feb","mar","abr","may","jun","jul","ago","sep","oct","nov","dic")&amp;", ","")&amp;IF(ISNUMBER(W203),DAY(W203)&amp;" "&amp;CHOOSE(MONTH(W203),"ene","feb","mar","abr","may","jun","jul","ago","sep","oct","nov","dic")&amp;", ","")&amp;IF(ISNUMBER(X203),DAY(X203)&amp;" "&amp;CHOOSE(MONTH(X203),"ene","feb","mar","abr","may","jun","jul","ago","sep","oct","nov","dic")&amp;", ","")&amp;IF(ISNUMBER(Y203),DAY(Y203)&amp;" "&amp;CHOOSE(MONTH(Y203),"ene","feb","mar","abr","may","jun","jul","ago","sep","oct","nov","dic")&amp;", ",""))</f>
        <v/>
      </c>
      <c r="AI203" t="str">
        <f t="shared" ref="AI203:AI266" si="35">IF(OR(AB203="",AE203&lt;&gt;""),"",IF(AB203="Un día","Un día: "&amp;CHOOSE(WEEKDAY(K203,2),"lunes","martes","miércoles","jueves","viernes","sábado","domingo")&amp;" "&amp;TEXT(DAY(K203),"00")&amp;"/"&amp;TEXT(MONTH(K203),"00")&amp;"/"&amp;YEAR(K203),IF(AB203="Varios días","Del "&amp;TEXT(DAY(K203),"00")&amp;"/"&amp;TEXT(MONTH(K203),"00")&amp;"/"&amp;YEAR(K203)&amp;" al "&amp;TEXT(DAY(L203),"00")&amp;"/"&amp;TEXT(MONTH(L203),"00")&amp;"/"&amp;YEAR(L203)&amp;" ("&amp;(L203-K203+1)&amp;" días)",IF(AB203="Fechas específicas",AF203&amp;IF(AF203=1," fecha: "," fechas: ")&amp;LEFT(AH203,LEN(AH203)-2),IF(AB203="Cada semana","Todos los "&amp;CHOOSE(WEEKDAY(K203,2),"lunes","martes","miércoles","jueves","viernes","sábados","domingos"),IF(AB203="Cada 15 días","Cada 15 días ("&amp;CHOOSE(WEEKDAY(K203,2),"lunes","martes","miércoles","jueves","viernes","sábados","domingos")&amp;" de por medio)",CHOOSE(AD203,"Primer","Segundo","Tercer","Cuarto","Último")&amp;" "&amp;CHOOSE(WEEKDAY(K203,2),"lunes","martes","miércoles","jueves","viernes","sábado","domingo")&amp;IF(AC203=1," de cada mes"," cada "&amp;AC203&amp;" meses")))&amp;", del "&amp;TEXT(DAY(K203),"00")&amp;"/"&amp;TEXT(MONTH(K203),"00")&amp;"/"&amp;YEAR(K203)&amp;" al "&amp;TEXT(DAY(L203),"00")&amp;"/"&amp;TEXT(MONTH(L203),"00")&amp;"/"&amp;YEAR(L203)&amp;" · "&amp;AF203&amp;IF(AF203=1," fecha"," fechas")))))</f>
        <v/>
      </c>
    </row>
    <row r="204" spans="1:35" x14ac:dyDescent="0.25">
      <c r="A204" s="9"/>
      <c r="B204" s="9"/>
      <c r="C204" s="9"/>
      <c r="D204" s="9"/>
      <c r="E204" s="9"/>
      <c r="F204" s="9"/>
      <c r="G204" s="9"/>
      <c r="H204" s="10"/>
      <c r="I204" s="10"/>
      <c r="J204" s="9"/>
      <c r="K204" s="11"/>
      <c r="L204" s="11"/>
      <c r="M204" s="12" t="str">
        <f t="shared" si="27"/>
        <v/>
      </c>
      <c r="N204" s="13"/>
      <c r="O204" s="13"/>
      <c r="P204" s="13"/>
      <c r="Q204" s="13"/>
      <c r="R204" s="13"/>
      <c r="S204" s="13"/>
      <c r="T204" s="13"/>
      <c r="U204" s="13"/>
      <c r="V204" s="13"/>
      <c r="W204" s="13"/>
      <c r="X204" s="13"/>
      <c r="Y204" s="13"/>
      <c r="Z204" s="9"/>
      <c r="AB204" t="str">
        <f t="shared" si="28"/>
        <v/>
      </c>
      <c r="AC204">
        <f t="shared" si="29"/>
        <v>0</v>
      </c>
      <c r="AD204">
        <f t="shared" si="30"/>
        <v>0</v>
      </c>
      <c r="AE204" t="str">
        <f t="shared" si="31"/>
        <v/>
      </c>
      <c r="AF204" t="str">
        <f t="shared" si="32"/>
        <v/>
      </c>
      <c r="AG204">
        <f t="shared" si="33"/>
        <v>0</v>
      </c>
      <c r="AH204" t="str">
        <f t="shared" si="34"/>
        <v/>
      </c>
      <c r="AI204" t="str">
        <f t="shared" si="35"/>
        <v/>
      </c>
    </row>
    <row r="205" spans="1:35" x14ac:dyDescent="0.25">
      <c r="A205" s="9"/>
      <c r="B205" s="9"/>
      <c r="C205" s="9"/>
      <c r="D205" s="9"/>
      <c r="E205" s="9"/>
      <c r="F205" s="9"/>
      <c r="G205" s="9"/>
      <c r="H205" s="10"/>
      <c r="I205" s="10"/>
      <c r="J205" s="9"/>
      <c r="K205" s="11"/>
      <c r="L205" s="11"/>
      <c r="M205" s="12" t="str">
        <f t="shared" si="27"/>
        <v/>
      </c>
      <c r="N205" s="13"/>
      <c r="O205" s="13"/>
      <c r="P205" s="13"/>
      <c r="Q205" s="13"/>
      <c r="R205" s="13"/>
      <c r="S205" s="13"/>
      <c r="T205" s="13"/>
      <c r="U205" s="13"/>
      <c r="V205" s="13"/>
      <c r="W205" s="13"/>
      <c r="X205" s="13"/>
      <c r="Y205" s="13"/>
      <c r="Z205" s="9"/>
      <c r="AB205" t="str">
        <f t="shared" si="28"/>
        <v/>
      </c>
      <c r="AC205">
        <f t="shared" si="29"/>
        <v>0</v>
      </c>
      <c r="AD205">
        <f t="shared" si="30"/>
        <v>0</v>
      </c>
      <c r="AE205" t="str">
        <f t="shared" si="31"/>
        <v/>
      </c>
      <c r="AF205" t="str">
        <f t="shared" si="32"/>
        <v/>
      </c>
      <c r="AG205">
        <f t="shared" si="33"/>
        <v>0</v>
      </c>
      <c r="AH205" t="str">
        <f t="shared" si="34"/>
        <v/>
      </c>
      <c r="AI205" t="str">
        <f t="shared" si="35"/>
        <v/>
      </c>
    </row>
    <row r="206" spans="1:35" x14ac:dyDescent="0.25">
      <c r="A206" s="9"/>
      <c r="B206" s="9"/>
      <c r="C206" s="9"/>
      <c r="D206" s="9"/>
      <c r="E206" s="9"/>
      <c r="F206" s="9"/>
      <c r="G206" s="9"/>
      <c r="H206" s="10"/>
      <c r="I206" s="10"/>
      <c r="J206" s="9"/>
      <c r="K206" s="11"/>
      <c r="L206" s="11"/>
      <c r="M206" s="12" t="str">
        <f t="shared" si="27"/>
        <v/>
      </c>
      <c r="N206" s="13"/>
      <c r="O206" s="13"/>
      <c r="P206" s="13"/>
      <c r="Q206" s="13"/>
      <c r="R206" s="13"/>
      <c r="S206" s="13"/>
      <c r="T206" s="13"/>
      <c r="U206" s="13"/>
      <c r="V206" s="13"/>
      <c r="W206" s="13"/>
      <c r="X206" s="13"/>
      <c r="Y206" s="13"/>
      <c r="Z206" s="9"/>
      <c r="AB206" t="str">
        <f t="shared" si="28"/>
        <v/>
      </c>
      <c r="AC206">
        <f t="shared" si="29"/>
        <v>0</v>
      </c>
      <c r="AD206">
        <f t="shared" si="30"/>
        <v>0</v>
      </c>
      <c r="AE206" t="str">
        <f t="shared" si="31"/>
        <v/>
      </c>
      <c r="AF206" t="str">
        <f t="shared" si="32"/>
        <v/>
      </c>
      <c r="AG206">
        <f t="shared" si="33"/>
        <v>0</v>
      </c>
      <c r="AH206" t="str">
        <f t="shared" si="34"/>
        <v/>
      </c>
      <c r="AI206" t="str">
        <f t="shared" si="35"/>
        <v/>
      </c>
    </row>
    <row r="207" spans="1:35" x14ac:dyDescent="0.25">
      <c r="A207" s="9"/>
      <c r="B207" s="9"/>
      <c r="C207" s="9"/>
      <c r="D207" s="9"/>
      <c r="E207" s="9"/>
      <c r="F207" s="9"/>
      <c r="G207" s="9"/>
      <c r="H207" s="10"/>
      <c r="I207" s="10"/>
      <c r="J207" s="9"/>
      <c r="K207" s="11"/>
      <c r="L207" s="11"/>
      <c r="M207" s="12" t="str">
        <f t="shared" si="27"/>
        <v/>
      </c>
      <c r="N207" s="13"/>
      <c r="O207" s="13"/>
      <c r="P207" s="13"/>
      <c r="Q207" s="13"/>
      <c r="R207" s="13"/>
      <c r="S207" s="13"/>
      <c r="T207" s="13"/>
      <c r="U207" s="13"/>
      <c r="V207" s="13"/>
      <c r="W207" s="13"/>
      <c r="X207" s="13"/>
      <c r="Y207" s="13"/>
      <c r="Z207" s="9"/>
      <c r="AB207" t="str">
        <f t="shared" si="28"/>
        <v/>
      </c>
      <c r="AC207">
        <f t="shared" si="29"/>
        <v>0</v>
      </c>
      <c r="AD207">
        <f t="shared" si="30"/>
        <v>0</v>
      </c>
      <c r="AE207" t="str">
        <f t="shared" si="31"/>
        <v/>
      </c>
      <c r="AF207" t="str">
        <f t="shared" si="32"/>
        <v/>
      </c>
      <c r="AG207">
        <f t="shared" si="33"/>
        <v>0</v>
      </c>
      <c r="AH207" t="str">
        <f t="shared" si="34"/>
        <v/>
      </c>
      <c r="AI207" t="str">
        <f t="shared" si="35"/>
        <v/>
      </c>
    </row>
    <row r="208" spans="1:35" x14ac:dyDescent="0.25">
      <c r="A208" s="9"/>
      <c r="B208" s="9"/>
      <c r="C208" s="9"/>
      <c r="D208" s="9"/>
      <c r="E208" s="9"/>
      <c r="F208" s="9"/>
      <c r="G208" s="9"/>
      <c r="H208" s="10"/>
      <c r="I208" s="10"/>
      <c r="J208" s="9"/>
      <c r="K208" s="11"/>
      <c r="L208" s="11"/>
      <c r="M208" s="12" t="str">
        <f t="shared" si="27"/>
        <v/>
      </c>
      <c r="N208" s="13"/>
      <c r="O208" s="13"/>
      <c r="P208" s="13"/>
      <c r="Q208" s="13"/>
      <c r="R208" s="13"/>
      <c r="S208" s="13"/>
      <c r="T208" s="13"/>
      <c r="U208" s="13"/>
      <c r="V208" s="13"/>
      <c r="W208" s="13"/>
      <c r="X208" s="13"/>
      <c r="Y208" s="13"/>
      <c r="Z208" s="9"/>
      <c r="AB208" t="str">
        <f t="shared" si="28"/>
        <v/>
      </c>
      <c r="AC208">
        <f t="shared" si="29"/>
        <v>0</v>
      </c>
      <c r="AD208">
        <f t="shared" si="30"/>
        <v>0</v>
      </c>
      <c r="AE208" t="str">
        <f t="shared" si="31"/>
        <v/>
      </c>
      <c r="AF208" t="str">
        <f t="shared" si="32"/>
        <v/>
      </c>
      <c r="AG208">
        <f t="shared" si="33"/>
        <v>0</v>
      </c>
      <c r="AH208" t="str">
        <f t="shared" si="34"/>
        <v/>
      </c>
      <c r="AI208" t="str">
        <f t="shared" si="35"/>
        <v/>
      </c>
    </row>
    <row r="209" spans="1:35" x14ac:dyDescent="0.25">
      <c r="A209" s="9"/>
      <c r="B209" s="9"/>
      <c r="C209" s="9"/>
      <c r="D209" s="9"/>
      <c r="E209" s="9"/>
      <c r="F209" s="9"/>
      <c r="G209" s="9"/>
      <c r="H209" s="10"/>
      <c r="I209" s="10"/>
      <c r="J209" s="9"/>
      <c r="K209" s="11"/>
      <c r="L209" s="11"/>
      <c r="M209" s="12" t="str">
        <f t="shared" si="27"/>
        <v/>
      </c>
      <c r="N209" s="13"/>
      <c r="O209" s="13"/>
      <c r="P209" s="13"/>
      <c r="Q209" s="13"/>
      <c r="R209" s="13"/>
      <c r="S209" s="13"/>
      <c r="T209" s="13"/>
      <c r="U209" s="13"/>
      <c r="V209" s="13"/>
      <c r="W209" s="13"/>
      <c r="X209" s="13"/>
      <c r="Y209" s="13"/>
      <c r="Z209" s="9"/>
      <c r="AB209" t="str">
        <f t="shared" si="28"/>
        <v/>
      </c>
      <c r="AC209">
        <f t="shared" si="29"/>
        <v>0</v>
      </c>
      <c r="AD209">
        <f t="shared" si="30"/>
        <v>0</v>
      </c>
      <c r="AE209" t="str">
        <f t="shared" si="31"/>
        <v/>
      </c>
      <c r="AF209" t="str">
        <f t="shared" si="32"/>
        <v/>
      </c>
      <c r="AG209">
        <f t="shared" si="33"/>
        <v>0</v>
      </c>
      <c r="AH209" t="str">
        <f t="shared" si="34"/>
        <v/>
      </c>
      <c r="AI209" t="str">
        <f t="shared" si="35"/>
        <v/>
      </c>
    </row>
    <row r="210" spans="1:35" x14ac:dyDescent="0.25">
      <c r="A210" s="9"/>
      <c r="B210" s="9"/>
      <c r="C210" s="9"/>
      <c r="D210" s="9"/>
      <c r="E210" s="9"/>
      <c r="F210" s="9"/>
      <c r="G210" s="9"/>
      <c r="H210" s="10"/>
      <c r="I210" s="10"/>
      <c r="J210" s="9"/>
      <c r="K210" s="11"/>
      <c r="L210" s="11"/>
      <c r="M210" s="12" t="str">
        <f t="shared" si="27"/>
        <v/>
      </c>
      <c r="N210" s="13"/>
      <c r="O210" s="13"/>
      <c r="P210" s="13"/>
      <c r="Q210" s="13"/>
      <c r="R210" s="13"/>
      <c r="S210" s="13"/>
      <c r="T210" s="13"/>
      <c r="U210" s="13"/>
      <c r="V210" s="13"/>
      <c r="W210" s="13"/>
      <c r="X210" s="13"/>
      <c r="Y210" s="13"/>
      <c r="Z210" s="9"/>
      <c r="AB210" t="str">
        <f t="shared" si="28"/>
        <v/>
      </c>
      <c r="AC210">
        <f t="shared" si="29"/>
        <v>0</v>
      </c>
      <c r="AD210">
        <f t="shared" si="30"/>
        <v>0</v>
      </c>
      <c r="AE210" t="str">
        <f t="shared" si="31"/>
        <v/>
      </c>
      <c r="AF210" t="str">
        <f t="shared" si="32"/>
        <v/>
      </c>
      <c r="AG210">
        <f t="shared" si="33"/>
        <v>0</v>
      </c>
      <c r="AH210" t="str">
        <f t="shared" si="34"/>
        <v/>
      </c>
      <c r="AI210" t="str">
        <f t="shared" si="35"/>
        <v/>
      </c>
    </row>
    <row r="211" spans="1:35" x14ac:dyDescent="0.25">
      <c r="A211" s="9"/>
      <c r="B211" s="9"/>
      <c r="C211" s="9"/>
      <c r="D211" s="9"/>
      <c r="E211" s="9"/>
      <c r="F211" s="9"/>
      <c r="G211" s="9"/>
      <c r="H211" s="10"/>
      <c r="I211" s="10"/>
      <c r="J211" s="9"/>
      <c r="K211" s="11"/>
      <c r="L211" s="11"/>
      <c r="M211" s="12" t="str">
        <f t="shared" si="27"/>
        <v/>
      </c>
      <c r="N211" s="13"/>
      <c r="O211" s="13"/>
      <c r="P211" s="13"/>
      <c r="Q211" s="13"/>
      <c r="R211" s="13"/>
      <c r="S211" s="13"/>
      <c r="T211" s="13"/>
      <c r="U211" s="13"/>
      <c r="V211" s="13"/>
      <c r="W211" s="13"/>
      <c r="X211" s="13"/>
      <c r="Y211" s="13"/>
      <c r="Z211" s="9"/>
      <c r="AB211" t="str">
        <f t="shared" si="28"/>
        <v/>
      </c>
      <c r="AC211">
        <f t="shared" si="29"/>
        <v>0</v>
      </c>
      <c r="AD211">
        <f t="shared" si="30"/>
        <v>0</v>
      </c>
      <c r="AE211" t="str">
        <f t="shared" si="31"/>
        <v/>
      </c>
      <c r="AF211" t="str">
        <f t="shared" si="32"/>
        <v/>
      </c>
      <c r="AG211">
        <f t="shared" si="33"/>
        <v>0</v>
      </c>
      <c r="AH211" t="str">
        <f t="shared" si="34"/>
        <v/>
      </c>
      <c r="AI211" t="str">
        <f t="shared" si="35"/>
        <v/>
      </c>
    </row>
    <row r="212" spans="1:35" x14ac:dyDescent="0.25">
      <c r="A212" s="9"/>
      <c r="B212" s="9"/>
      <c r="C212" s="9"/>
      <c r="D212" s="9"/>
      <c r="E212" s="9"/>
      <c r="F212" s="9"/>
      <c r="G212" s="9"/>
      <c r="H212" s="10"/>
      <c r="I212" s="10"/>
      <c r="J212" s="9"/>
      <c r="K212" s="11"/>
      <c r="L212" s="11"/>
      <c r="M212" s="12" t="str">
        <f t="shared" si="27"/>
        <v/>
      </c>
      <c r="N212" s="13"/>
      <c r="O212" s="13"/>
      <c r="P212" s="13"/>
      <c r="Q212" s="13"/>
      <c r="R212" s="13"/>
      <c r="S212" s="13"/>
      <c r="T212" s="13"/>
      <c r="U212" s="13"/>
      <c r="V212" s="13"/>
      <c r="W212" s="13"/>
      <c r="X212" s="13"/>
      <c r="Y212" s="13"/>
      <c r="Z212" s="9"/>
      <c r="AB212" t="str">
        <f t="shared" si="28"/>
        <v/>
      </c>
      <c r="AC212">
        <f t="shared" si="29"/>
        <v>0</v>
      </c>
      <c r="AD212">
        <f t="shared" si="30"/>
        <v>0</v>
      </c>
      <c r="AE212" t="str">
        <f t="shared" si="31"/>
        <v/>
      </c>
      <c r="AF212" t="str">
        <f t="shared" si="32"/>
        <v/>
      </c>
      <c r="AG212">
        <f t="shared" si="33"/>
        <v>0</v>
      </c>
      <c r="AH212" t="str">
        <f t="shared" si="34"/>
        <v/>
      </c>
      <c r="AI212" t="str">
        <f t="shared" si="35"/>
        <v/>
      </c>
    </row>
    <row r="213" spans="1:35" x14ac:dyDescent="0.25">
      <c r="A213" s="9"/>
      <c r="B213" s="9"/>
      <c r="C213" s="9"/>
      <c r="D213" s="9"/>
      <c r="E213" s="9"/>
      <c r="F213" s="9"/>
      <c r="G213" s="9"/>
      <c r="H213" s="10"/>
      <c r="I213" s="10"/>
      <c r="J213" s="9"/>
      <c r="K213" s="11"/>
      <c r="L213" s="11"/>
      <c r="M213" s="12" t="str">
        <f t="shared" si="27"/>
        <v/>
      </c>
      <c r="N213" s="13"/>
      <c r="O213" s="13"/>
      <c r="P213" s="13"/>
      <c r="Q213" s="13"/>
      <c r="R213" s="13"/>
      <c r="S213" s="13"/>
      <c r="T213" s="13"/>
      <c r="U213" s="13"/>
      <c r="V213" s="13"/>
      <c r="W213" s="13"/>
      <c r="X213" s="13"/>
      <c r="Y213" s="13"/>
      <c r="Z213" s="9"/>
      <c r="AB213" t="str">
        <f t="shared" si="28"/>
        <v/>
      </c>
      <c r="AC213">
        <f t="shared" si="29"/>
        <v>0</v>
      </c>
      <c r="AD213">
        <f t="shared" si="30"/>
        <v>0</v>
      </c>
      <c r="AE213" t="str">
        <f t="shared" si="31"/>
        <v/>
      </c>
      <c r="AF213" t="str">
        <f t="shared" si="32"/>
        <v/>
      </c>
      <c r="AG213">
        <f t="shared" si="33"/>
        <v>0</v>
      </c>
      <c r="AH213" t="str">
        <f t="shared" si="34"/>
        <v/>
      </c>
      <c r="AI213" t="str">
        <f t="shared" si="35"/>
        <v/>
      </c>
    </row>
    <row r="214" spans="1:35" x14ac:dyDescent="0.25">
      <c r="A214" s="9"/>
      <c r="B214" s="9"/>
      <c r="C214" s="9"/>
      <c r="D214" s="9"/>
      <c r="E214" s="9"/>
      <c r="F214" s="9"/>
      <c r="G214" s="9"/>
      <c r="H214" s="10"/>
      <c r="I214" s="10"/>
      <c r="J214" s="9"/>
      <c r="K214" s="11"/>
      <c r="L214" s="11"/>
      <c r="M214" s="12" t="str">
        <f t="shared" si="27"/>
        <v/>
      </c>
      <c r="N214" s="13"/>
      <c r="O214" s="13"/>
      <c r="P214" s="13"/>
      <c r="Q214" s="13"/>
      <c r="R214" s="13"/>
      <c r="S214" s="13"/>
      <c r="T214" s="13"/>
      <c r="U214" s="13"/>
      <c r="V214" s="13"/>
      <c r="W214" s="13"/>
      <c r="X214" s="13"/>
      <c r="Y214" s="13"/>
      <c r="Z214" s="9"/>
      <c r="AB214" t="str">
        <f t="shared" si="28"/>
        <v/>
      </c>
      <c r="AC214">
        <f t="shared" si="29"/>
        <v>0</v>
      </c>
      <c r="AD214">
        <f t="shared" si="30"/>
        <v>0</v>
      </c>
      <c r="AE214" t="str">
        <f t="shared" si="31"/>
        <v/>
      </c>
      <c r="AF214" t="str">
        <f t="shared" si="32"/>
        <v/>
      </c>
      <c r="AG214">
        <f t="shared" si="33"/>
        <v>0</v>
      </c>
      <c r="AH214" t="str">
        <f t="shared" si="34"/>
        <v/>
      </c>
      <c r="AI214" t="str">
        <f t="shared" si="35"/>
        <v/>
      </c>
    </row>
    <row r="215" spans="1:35" x14ac:dyDescent="0.25">
      <c r="A215" s="9"/>
      <c r="B215" s="9"/>
      <c r="C215" s="9"/>
      <c r="D215" s="9"/>
      <c r="E215" s="9"/>
      <c r="F215" s="9"/>
      <c r="G215" s="9"/>
      <c r="H215" s="10"/>
      <c r="I215" s="10"/>
      <c r="J215" s="9"/>
      <c r="K215" s="11"/>
      <c r="L215" s="11"/>
      <c r="M215" s="12" t="str">
        <f t="shared" si="27"/>
        <v/>
      </c>
      <c r="N215" s="13"/>
      <c r="O215" s="13"/>
      <c r="P215" s="13"/>
      <c r="Q215" s="13"/>
      <c r="R215" s="13"/>
      <c r="S215" s="13"/>
      <c r="T215" s="13"/>
      <c r="U215" s="13"/>
      <c r="V215" s="13"/>
      <c r="W215" s="13"/>
      <c r="X215" s="13"/>
      <c r="Y215" s="13"/>
      <c r="Z215" s="9"/>
      <c r="AB215" t="str">
        <f t="shared" si="28"/>
        <v/>
      </c>
      <c r="AC215">
        <f t="shared" si="29"/>
        <v>0</v>
      </c>
      <c r="AD215">
        <f t="shared" si="30"/>
        <v>0</v>
      </c>
      <c r="AE215" t="str">
        <f t="shared" si="31"/>
        <v/>
      </c>
      <c r="AF215" t="str">
        <f t="shared" si="32"/>
        <v/>
      </c>
      <c r="AG215">
        <f t="shared" si="33"/>
        <v>0</v>
      </c>
      <c r="AH215" t="str">
        <f t="shared" si="34"/>
        <v/>
      </c>
      <c r="AI215" t="str">
        <f t="shared" si="35"/>
        <v/>
      </c>
    </row>
    <row r="216" spans="1:35" x14ac:dyDescent="0.25">
      <c r="A216" s="9"/>
      <c r="B216" s="9"/>
      <c r="C216" s="9"/>
      <c r="D216" s="9"/>
      <c r="E216" s="9"/>
      <c r="F216" s="9"/>
      <c r="G216" s="9"/>
      <c r="H216" s="10"/>
      <c r="I216" s="10"/>
      <c r="J216" s="9"/>
      <c r="K216" s="11"/>
      <c r="L216" s="11"/>
      <c r="M216" s="12" t="str">
        <f t="shared" si="27"/>
        <v/>
      </c>
      <c r="N216" s="13"/>
      <c r="O216" s="13"/>
      <c r="P216" s="13"/>
      <c r="Q216" s="13"/>
      <c r="R216" s="13"/>
      <c r="S216" s="13"/>
      <c r="T216" s="13"/>
      <c r="U216" s="13"/>
      <c r="V216" s="13"/>
      <c r="W216" s="13"/>
      <c r="X216" s="13"/>
      <c r="Y216" s="13"/>
      <c r="Z216" s="9"/>
      <c r="AB216" t="str">
        <f t="shared" si="28"/>
        <v/>
      </c>
      <c r="AC216">
        <f t="shared" si="29"/>
        <v>0</v>
      </c>
      <c r="AD216">
        <f t="shared" si="30"/>
        <v>0</v>
      </c>
      <c r="AE216" t="str">
        <f t="shared" si="31"/>
        <v/>
      </c>
      <c r="AF216" t="str">
        <f t="shared" si="32"/>
        <v/>
      </c>
      <c r="AG216">
        <f t="shared" si="33"/>
        <v>0</v>
      </c>
      <c r="AH216" t="str">
        <f t="shared" si="34"/>
        <v/>
      </c>
      <c r="AI216" t="str">
        <f t="shared" si="35"/>
        <v/>
      </c>
    </row>
    <row r="217" spans="1:35" x14ac:dyDescent="0.25">
      <c r="A217" s="9"/>
      <c r="B217" s="9"/>
      <c r="C217" s="9"/>
      <c r="D217" s="9"/>
      <c r="E217" s="9"/>
      <c r="F217" s="9"/>
      <c r="G217" s="9"/>
      <c r="H217" s="10"/>
      <c r="I217" s="10"/>
      <c r="J217" s="9"/>
      <c r="K217" s="11"/>
      <c r="L217" s="11"/>
      <c r="M217" s="12" t="str">
        <f t="shared" si="27"/>
        <v/>
      </c>
      <c r="N217" s="13"/>
      <c r="O217" s="13"/>
      <c r="P217" s="13"/>
      <c r="Q217" s="13"/>
      <c r="R217" s="13"/>
      <c r="S217" s="13"/>
      <c r="T217" s="13"/>
      <c r="U217" s="13"/>
      <c r="V217" s="13"/>
      <c r="W217" s="13"/>
      <c r="X217" s="13"/>
      <c r="Y217" s="13"/>
      <c r="Z217" s="9"/>
      <c r="AB217" t="str">
        <f t="shared" si="28"/>
        <v/>
      </c>
      <c r="AC217">
        <f t="shared" si="29"/>
        <v>0</v>
      </c>
      <c r="AD217">
        <f t="shared" si="30"/>
        <v>0</v>
      </c>
      <c r="AE217" t="str">
        <f t="shared" si="31"/>
        <v/>
      </c>
      <c r="AF217" t="str">
        <f t="shared" si="32"/>
        <v/>
      </c>
      <c r="AG217">
        <f t="shared" si="33"/>
        <v>0</v>
      </c>
      <c r="AH217" t="str">
        <f t="shared" si="34"/>
        <v/>
      </c>
      <c r="AI217" t="str">
        <f t="shared" si="35"/>
        <v/>
      </c>
    </row>
    <row r="218" spans="1:35" x14ac:dyDescent="0.25">
      <c r="A218" s="9"/>
      <c r="B218" s="9"/>
      <c r="C218" s="9"/>
      <c r="D218" s="9"/>
      <c r="E218" s="9"/>
      <c r="F218" s="9"/>
      <c r="G218" s="9"/>
      <c r="H218" s="10"/>
      <c r="I218" s="10"/>
      <c r="J218" s="9"/>
      <c r="K218" s="11"/>
      <c r="L218" s="11"/>
      <c r="M218" s="12" t="str">
        <f t="shared" si="27"/>
        <v/>
      </c>
      <c r="N218" s="13"/>
      <c r="O218" s="13"/>
      <c r="P218" s="13"/>
      <c r="Q218" s="13"/>
      <c r="R218" s="13"/>
      <c r="S218" s="13"/>
      <c r="T218" s="13"/>
      <c r="U218" s="13"/>
      <c r="V218" s="13"/>
      <c r="W218" s="13"/>
      <c r="X218" s="13"/>
      <c r="Y218" s="13"/>
      <c r="Z218" s="9"/>
      <c r="AB218" t="str">
        <f t="shared" si="28"/>
        <v/>
      </c>
      <c r="AC218">
        <f t="shared" si="29"/>
        <v>0</v>
      </c>
      <c r="AD218">
        <f t="shared" si="30"/>
        <v>0</v>
      </c>
      <c r="AE218" t="str">
        <f t="shared" si="31"/>
        <v/>
      </c>
      <c r="AF218" t="str">
        <f t="shared" si="32"/>
        <v/>
      </c>
      <c r="AG218">
        <f t="shared" si="33"/>
        <v>0</v>
      </c>
      <c r="AH218" t="str">
        <f t="shared" si="34"/>
        <v/>
      </c>
      <c r="AI218" t="str">
        <f t="shared" si="35"/>
        <v/>
      </c>
    </row>
    <row r="219" spans="1:35" x14ac:dyDescent="0.25">
      <c r="A219" s="9"/>
      <c r="B219" s="9"/>
      <c r="C219" s="9"/>
      <c r="D219" s="9"/>
      <c r="E219" s="9"/>
      <c r="F219" s="9"/>
      <c r="G219" s="9"/>
      <c r="H219" s="10"/>
      <c r="I219" s="10"/>
      <c r="J219" s="9"/>
      <c r="K219" s="11"/>
      <c r="L219" s="11"/>
      <c r="M219" s="12" t="str">
        <f t="shared" si="27"/>
        <v/>
      </c>
      <c r="N219" s="13"/>
      <c r="O219" s="13"/>
      <c r="P219" s="13"/>
      <c r="Q219" s="13"/>
      <c r="R219" s="13"/>
      <c r="S219" s="13"/>
      <c r="T219" s="13"/>
      <c r="U219" s="13"/>
      <c r="V219" s="13"/>
      <c r="W219" s="13"/>
      <c r="X219" s="13"/>
      <c r="Y219" s="13"/>
      <c r="Z219" s="9"/>
      <c r="AB219" t="str">
        <f t="shared" si="28"/>
        <v/>
      </c>
      <c r="AC219">
        <f t="shared" si="29"/>
        <v>0</v>
      </c>
      <c r="AD219">
        <f t="shared" si="30"/>
        <v>0</v>
      </c>
      <c r="AE219" t="str">
        <f t="shared" si="31"/>
        <v/>
      </c>
      <c r="AF219" t="str">
        <f t="shared" si="32"/>
        <v/>
      </c>
      <c r="AG219">
        <f t="shared" si="33"/>
        <v>0</v>
      </c>
      <c r="AH219" t="str">
        <f t="shared" si="34"/>
        <v/>
      </c>
      <c r="AI219" t="str">
        <f t="shared" si="35"/>
        <v/>
      </c>
    </row>
    <row r="220" spans="1:35" x14ac:dyDescent="0.25">
      <c r="A220" s="9"/>
      <c r="B220" s="9"/>
      <c r="C220" s="9"/>
      <c r="D220" s="9"/>
      <c r="E220" s="9"/>
      <c r="F220" s="9"/>
      <c r="G220" s="9"/>
      <c r="H220" s="10"/>
      <c r="I220" s="10"/>
      <c r="J220" s="9"/>
      <c r="K220" s="11"/>
      <c r="L220" s="11"/>
      <c r="M220" s="12" t="str">
        <f t="shared" si="27"/>
        <v/>
      </c>
      <c r="N220" s="13"/>
      <c r="O220" s="13"/>
      <c r="P220" s="13"/>
      <c r="Q220" s="13"/>
      <c r="R220" s="13"/>
      <c r="S220" s="13"/>
      <c r="T220" s="13"/>
      <c r="U220" s="13"/>
      <c r="V220" s="13"/>
      <c r="W220" s="13"/>
      <c r="X220" s="13"/>
      <c r="Y220" s="13"/>
      <c r="Z220" s="9"/>
      <c r="AB220" t="str">
        <f t="shared" si="28"/>
        <v/>
      </c>
      <c r="AC220">
        <f t="shared" si="29"/>
        <v>0</v>
      </c>
      <c r="AD220">
        <f t="shared" si="30"/>
        <v>0</v>
      </c>
      <c r="AE220" t="str">
        <f t="shared" si="31"/>
        <v/>
      </c>
      <c r="AF220" t="str">
        <f t="shared" si="32"/>
        <v/>
      </c>
      <c r="AG220">
        <f t="shared" si="33"/>
        <v>0</v>
      </c>
      <c r="AH220" t="str">
        <f t="shared" si="34"/>
        <v/>
      </c>
      <c r="AI220" t="str">
        <f t="shared" si="35"/>
        <v/>
      </c>
    </row>
    <row r="221" spans="1:35" x14ac:dyDescent="0.25">
      <c r="A221" s="9"/>
      <c r="B221" s="9"/>
      <c r="C221" s="9"/>
      <c r="D221" s="9"/>
      <c r="E221" s="9"/>
      <c r="F221" s="9"/>
      <c r="G221" s="9"/>
      <c r="H221" s="10"/>
      <c r="I221" s="10"/>
      <c r="J221" s="9"/>
      <c r="K221" s="11"/>
      <c r="L221" s="11"/>
      <c r="M221" s="12" t="str">
        <f t="shared" si="27"/>
        <v/>
      </c>
      <c r="N221" s="13"/>
      <c r="O221" s="13"/>
      <c r="P221" s="13"/>
      <c r="Q221" s="13"/>
      <c r="R221" s="13"/>
      <c r="S221" s="13"/>
      <c r="T221" s="13"/>
      <c r="U221" s="13"/>
      <c r="V221" s="13"/>
      <c r="W221" s="13"/>
      <c r="X221" s="13"/>
      <c r="Y221" s="13"/>
      <c r="Z221" s="9"/>
      <c r="AB221" t="str">
        <f t="shared" si="28"/>
        <v/>
      </c>
      <c r="AC221">
        <f t="shared" si="29"/>
        <v>0</v>
      </c>
      <c r="AD221">
        <f t="shared" si="30"/>
        <v>0</v>
      </c>
      <c r="AE221" t="str">
        <f t="shared" si="31"/>
        <v/>
      </c>
      <c r="AF221" t="str">
        <f t="shared" si="32"/>
        <v/>
      </c>
      <c r="AG221">
        <f t="shared" si="33"/>
        <v>0</v>
      </c>
      <c r="AH221" t="str">
        <f t="shared" si="34"/>
        <v/>
      </c>
      <c r="AI221" t="str">
        <f t="shared" si="35"/>
        <v/>
      </c>
    </row>
    <row r="222" spans="1:35" x14ac:dyDescent="0.25">
      <c r="A222" s="9"/>
      <c r="B222" s="9"/>
      <c r="C222" s="9"/>
      <c r="D222" s="9"/>
      <c r="E222" s="9"/>
      <c r="F222" s="9"/>
      <c r="G222" s="9"/>
      <c r="H222" s="10"/>
      <c r="I222" s="10"/>
      <c r="J222" s="9"/>
      <c r="K222" s="11"/>
      <c r="L222" s="11"/>
      <c r="M222" s="12" t="str">
        <f t="shared" si="27"/>
        <v/>
      </c>
      <c r="N222" s="13"/>
      <c r="O222" s="13"/>
      <c r="P222" s="13"/>
      <c r="Q222" s="13"/>
      <c r="R222" s="13"/>
      <c r="S222" s="13"/>
      <c r="T222" s="13"/>
      <c r="U222" s="13"/>
      <c r="V222" s="13"/>
      <c r="W222" s="13"/>
      <c r="X222" s="13"/>
      <c r="Y222" s="13"/>
      <c r="Z222" s="9"/>
      <c r="AB222" t="str">
        <f t="shared" si="28"/>
        <v/>
      </c>
      <c r="AC222">
        <f t="shared" si="29"/>
        <v>0</v>
      </c>
      <c r="AD222">
        <f t="shared" si="30"/>
        <v>0</v>
      </c>
      <c r="AE222" t="str">
        <f t="shared" si="31"/>
        <v/>
      </c>
      <c r="AF222" t="str">
        <f t="shared" si="32"/>
        <v/>
      </c>
      <c r="AG222">
        <f t="shared" si="33"/>
        <v>0</v>
      </c>
      <c r="AH222" t="str">
        <f t="shared" si="34"/>
        <v/>
      </c>
      <c r="AI222" t="str">
        <f t="shared" si="35"/>
        <v/>
      </c>
    </row>
    <row r="223" spans="1:35" x14ac:dyDescent="0.25">
      <c r="A223" s="9"/>
      <c r="B223" s="9"/>
      <c r="C223" s="9"/>
      <c r="D223" s="9"/>
      <c r="E223" s="9"/>
      <c r="F223" s="9"/>
      <c r="G223" s="9"/>
      <c r="H223" s="10"/>
      <c r="I223" s="10"/>
      <c r="J223" s="9"/>
      <c r="K223" s="11"/>
      <c r="L223" s="11"/>
      <c r="M223" s="12" t="str">
        <f t="shared" si="27"/>
        <v/>
      </c>
      <c r="N223" s="13"/>
      <c r="O223" s="13"/>
      <c r="P223" s="13"/>
      <c r="Q223" s="13"/>
      <c r="R223" s="13"/>
      <c r="S223" s="13"/>
      <c r="T223" s="13"/>
      <c r="U223" s="13"/>
      <c r="V223" s="13"/>
      <c r="W223" s="13"/>
      <c r="X223" s="13"/>
      <c r="Y223" s="13"/>
      <c r="Z223" s="9"/>
      <c r="AB223" t="str">
        <f t="shared" si="28"/>
        <v/>
      </c>
      <c r="AC223">
        <f t="shared" si="29"/>
        <v>0</v>
      </c>
      <c r="AD223">
        <f t="shared" si="30"/>
        <v>0</v>
      </c>
      <c r="AE223" t="str">
        <f t="shared" si="31"/>
        <v/>
      </c>
      <c r="AF223" t="str">
        <f t="shared" si="32"/>
        <v/>
      </c>
      <c r="AG223">
        <f t="shared" si="33"/>
        <v>0</v>
      </c>
      <c r="AH223" t="str">
        <f t="shared" si="34"/>
        <v/>
      </c>
      <c r="AI223" t="str">
        <f t="shared" si="35"/>
        <v/>
      </c>
    </row>
    <row r="224" spans="1:35" x14ac:dyDescent="0.25">
      <c r="A224" s="9"/>
      <c r="B224" s="9"/>
      <c r="C224" s="9"/>
      <c r="D224" s="9"/>
      <c r="E224" s="9"/>
      <c r="F224" s="9"/>
      <c r="G224" s="9"/>
      <c r="H224" s="10"/>
      <c r="I224" s="10"/>
      <c r="J224" s="9"/>
      <c r="K224" s="11"/>
      <c r="L224" s="11"/>
      <c r="M224" s="12" t="str">
        <f t="shared" si="27"/>
        <v/>
      </c>
      <c r="N224" s="13"/>
      <c r="O224" s="13"/>
      <c r="P224" s="13"/>
      <c r="Q224" s="13"/>
      <c r="R224" s="13"/>
      <c r="S224" s="13"/>
      <c r="T224" s="13"/>
      <c r="U224" s="13"/>
      <c r="V224" s="13"/>
      <c r="W224" s="13"/>
      <c r="X224" s="13"/>
      <c r="Y224" s="13"/>
      <c r="Z224" s="9"/>
      <c r="AB224" t="str">
        <f t="shared" si="28"/>
        <v/>
      </c>
      <c r="AC224">
        <f t="shared" si="29"/>
        <v>0</v>
      </c>
      <c r="AD224">
        <f t="shared" si="30"/>
        <v>0</v>
      </c>
      <c r="AE224" t="str">
        <f t="shared" si="31"/>
        <v/>
      </c>
      <c r="AF224" t="str">
        <f t="shared" si="32"/>
        <v/>
      </c>
      <c r="AG224">
        <f t="shared" si="33"/>
        <v>0</v>
      </c>
      <c r="AH224" t="str">
        <f t="shared" si="34"/>
        <v/>
      </c>
      <c r="AI224" t="str">
        <f t="shared" si="35"/>
        <v/>
      </c>
    </row>
    <row r="225" spans="1:35" x14ac:dyDescent="0.25">
      <c r="A225" s="9"/>
      <c r="B225" s="9"/>
      <c r="C225" s="9"/>
      <c r="D225" s="9"/>
      <c r="E225" s="9"/>
      <c r="F225" s="9"/>
      <c r="G225" s="9"/>
      <c r="H225" s="10"/>
      <c r="I225" s="10"/>
      <c r="J225" s="9"/>
      <c r="K225" s="11"/>
      <c r="L225" s="11"/>
      <c r="M225" s="12" t="str">
        <f t="shared" si="27"/>
        <v/>
      </c>
      <c r="N225" s="13"/>
      <c r="O225" s="13"/>
      <c r="P225" s="13"/>
      <c r="Q225" s="13"/>
      <c r="R225" s="13"/>
      <c r="S225" s="13"/>
      <c r="T225" s="13"/>
      <c r="U225" s="13"/>
      <c r="V225" s="13"/>
      <c r="W225" s="13"/>
      <c r="X225" s="13"/>
      <c r="Y225" s="13"/>
      <c r="Z225" s="9"/>
      <c r="AB225" t="str">
        <f t="shared" si="28"/>
        <v/>
      </c>
      <c r="AC225">
        <f t="shared" si="29"/>
        <v>0</v>
      </c>
      <c r="AD225">
        <f t="shared" si="30"/>
        <v>0</v>
      </c>
      <c r="AE225" t="str">
        <f t="shared" si="31"/>
        <v/>
      </c>
      <c r="AF225" t="str">
        <f t="shared" si="32"/>
        <v/>
      </c>
      <c r="AG225">
        <f t="shared" si="33"/>
        <v>0</v>
      </c>
      <c r="AH225" t="str">
        <f t="shared" si="34"/>
        <v/>
      </c>
      <c r="AI225" t="str">
        <f t="shared" si="35"/>
        <v/>
      </c>
    </row>
    <row r="226" spans="1:35" x14ac:dyDescent="0.25">
      <c r="A226" s="9"/>
      <c r="B226" s="9"/>
      <c r="C226" s="9"/>
      <c r="D226" s="9"/>
      <c r="E226" s="9"/>
      <c r="F226" s="9"/>
      <c r="G226" s="9"/>
      <c r="H226" s="10"/>
      <c r="I226" s="10"/>
      <c r="J226" s="9"/>
      <c r="K226" s="11"/>
      <c r="L226" s="11"/>
      <c r="M226" s="12" t="str">
        <f t="shared" si="27"/>
        <v/>
      </c>
      <c r="N226" s="13"/>
      <c r="O226" s="13"/>
      <c r="P226" s="13"/>
      <c r="Q226" s="13"/>
      <c r="R226" s="13"/>
      <c r="S226" s="13"/>
      <c r="T226" s="13"/>
      <c r="U226" s="13"/>
      <c r="V226" s="13"/>
      <c r="W226" s="13"/>
      <c r="X226" s="13"/>
      <c r="Y226" s="13"/>
      <c r="Z226" s="9"/>
      <c r="AB226" t="str">
        <f t="shared" si="28"/>
        <v/>
      </c>
      <c r="AC226">
        <f t="shared" si="29"/>
        <v>0</v>
      </c>
      <c r="AD226">
        <f t="shared" si="30"/>
        <v>0</v>
      </c>
      <c r="AE226" t="str">
        <f t="shared" si="31"/>
        <v/>
      </c>
      <c r="AF226" t="str">
        <f t="shared" si="32"/>
        <v/>
      </c>
      <c r="AG226">
        <f t="shared" si="33"/>
        <v>0</v>
      </c>
      <c r="AH226" t="str">
        <f t="shared" si="34"/>
        <v/>
      </c>
      <c r="AI226" t="str">
        <f t="shared" si="35"/>
        <v/>
      </c>
    </row>
    <row r="227" spans="1:35" x14ac:dyDescent="0.25">
      <c r="A227" s="9"/>
      <c r="B227" s="9"/>
      <c r="C227" s="9"/>
      <c r="D227" s="9"/>
      <c r="E227" s="9"/>
      <c r="F227" s="9"/>
      <c r="G227" s="9"/>
      <c r="H227" s="10"/>
      <c r="I227" s="10"/>
      <c r="J227" s="9"/>
      <c r="K227" s="11"/>
      <c r="L227" s="11"/>
      <c r="M227" s="12" t="str">
        <f t="shared" si="27"/>
        <v/>
      </c>
      <c r="N227" s="13"/>
      <c r="O227" s="13"/>
      <c r="P227" s="13"/>
      <c r="Q227" s="13"/>
      <c r="R227" s="13"/>
      <c r="S227" s="13"/>
      <c r="T227" s="13"/>
      <c r="U227" s="13"/>
      <c r="V227" s="13"/>
      <c r="W227" s="13"/>
      <c r="X227" s="13"/>
      <c r="Y227" s="13"/>
      <c r="Z227" s="9"/>
      <c r="AB227" t="str">
        <f t="shared" si="28"/>
        <v/>
      </c>
      <c r="AC227">
        <f t="shared" si="29"/>
        <v>0</v>
      </c>
      <c r="AD227">
        <f t="shared" si="30"/>
        <v>0</v>
      </c>
      <c r="AE227" t="str">
        <f t="shared" si="31"/>
        <v/>
      </c>
      <c r="AF227" t="str">
        <f t="shared" si="32"/>
        <v/>
      </c>
      <c r="AG227">
        <f t="shared" si="33"/>
        <v>0</v>
      </c>
      <c r="AH227" t="str">
        <f t="shared" si="34"/>
        <v/>
      </c>
      <c r="AI227" t="str">
        <f t="shared" si="35"/>
        <v/>
      </c>
    </row>
    <row r="228" spans="1:35" x14ac:dyDescent="0.25">
      <c r="A228" s="9"/>
      <c r="B228" s="9"/>
      <c r="C228" s="9"/>
      <c r="D228" s="9"/>
      <c r="E228" s="9"/>
      <c r="F228" s="9"/>
      <c r="G228" s="9"/>
      <c r="H228" s="10"/>
      <c r="I228" s="10"/>
      <c r="J228" s="9"/>
      <c r="K228" s="11"/>
      <c r="L228" s="11"/>
      <c r="M228" s="12" t="str">
        <f t="shared" si="27"/>
        <v/>
      </c>
      <c r="N228" s="13"/>
      <c r="O228" s="13"/>
      <c r="P228" s="13"/>
      <c r="Q228" s="13"/>
      <c r="R228" s="13"/>
      <c r="S228" s="13"/>
      <c r="T228" s="13"/>
      <c r="U228" s="13"/>
      <c r="V228" s="13"/>
      <c r="W228" s="13"/>
      <c r="X228" s="13"/>
      <c r="Y228" s="13"/>
      <c r="Z228" s="9"/>
      <c r="AB228" t="str">
        <f t="shared" si="28"/>
        <v/>
      </c>
      <c r="AC228">
        <f t="shared" si="29"/>
        <v>0</v>
      </c>
      <c r="AD228">
        <f t="shared" si="30"/>
        <v>0</v>
      </c>
      <c r="AE228" t="str">
        <f t="shared" si="31"/>
        <v/>
      </c>
      <c r="AF228" t="str">
        <f t="shared" si="32"/>
        <v/>
      </c>
      <c r="AG228">
        <f t="shared" si="33"/>
        <v>0</v>
      </c>
      <c r="AH228" t="str">
        <f t="shared" si="34"/>
        <v/>
      </c>
      <c r="AI228" t="str">
        <f t="shared" si="35"/>
        <v/>
      </c>
    </row>
    <row r="229" spans="1:35" x14ac:dyDescent="0.25">
      <c r="A229" s="9"/>
      <c r="B229" s="9"/>
      <c r="C229" s="9"/>
      <c r="D229" s="9"/>
      <c r="E229" s="9"/>
      <c r="F229" s="9"/>
      <c r="G229" s="9"/>
      <c r="H229" s="10"/>
      <c r="I229" s="10"/>
      <c r="J229" s="9"/>
      <c r="K229" s="11"/>
      <c r="L229" s="11"/>
      <c r="M229" s="12" t="str">
        <f t="shared" si="27"/>
        <v/>
      </c>
      <c r="N229" s="13"/>
      <c r="O229" s="13"/>
      <c r="P229" s="13"/>
      <c r="Q229" s="13"/>
      <c r="R229" s="13"/>
      <c r="S229" s="13"/>
      <c r="T229" s="13"/>
      <c r="U229" s="13"/>
      <c r="V229" s="13"/>
      <c r="W229" s="13"/>
      <c r="X229" s="13"/>
      <c r="Y229" s="13"/>
      <c r="Z229" s="9"/>
      <c r="AB229" t="str">
        <f t="shared" si="28"/>
        <v/>
      </c>
      <c r="AC229">
        <f t="shared" si="29"/>
        <v>0</v>
      </c>
      <c r="AD229">
        <f t="shared" si="30"/>
        <v>0</v>
      </c>
      <c r="AE229" t="str">
        <f t="shared" si="31"/>
        <v/>
      </c>
      <c r="AF229" t="str">
        <f t="shared" si="32"/>
        <v/>
      </c>
      <c r="AG229">
        <f t="shared" si="33"/>
        <v>0</v>
      </c>
      <c r="AH229" t="str">
        <f t="shared" si="34"/>
        <v/>
      </c>
      <c r="AI229" t="str">
        <f t="shared" si="35"/>
        <v/>
      </c>
    </row>
    <row r="230" spans="1:35" x14ac:dyDescent="0.25">
      <c r="A230" s="9"/>
      <c r="B230" s="9"/>
      <c r="C230" s="9"/>
      <c r="D230" s="9"/>
      <c r="E230" s="9"/>
      <c r="F230" s="9"/>
      <c r="G230" s="9"/>
      <c r="H230" s="10"/>
      <c r="I230" s="10"/>
      <c r="J230" s="9"/>
      <c r="K230" s="11"/>
      <c r="L230" s="11"/>
      <c r="M230" s="12" t="str">
        <f t="shared" si="27"/>
        <v/>
      </c>
      <c r="N230" s="13"/>
      <c r="O230" s="13"/>
      <c r="P230" s="13"/>
      <c r="Q230" s="13"/>
      <c r="R230" s="13"/>
      <c r="S230" s="13"/>
      <c r="T230" s="13"/>
      <c r="U230" s="13"/>
      <c r="V230" s="13"/>
      <c r="W230" s="13"/>
      <c r="X230" s="13"/>
      <c r="Y230" s="13"/>
      <c r="Z230" s="9"/>
      <c r="AB230" t="str">
        <f t="shared" si="28"/>
        <v/>
      </c>
      <c r="AC230">
        <f t="shared" si="29"/>
        <v>0</v>
      </c>
      <c r="AD230">
        <f t="shared" si="30"/>
        <v>0</v>
      </c>
      <c r="AE230" t="str">
        <f t="shared" si="31"/>
        <v/>
      </c>
      <c r="AF230" t="str">
        <f t="shared" si="32"/>
        <v/>
      </c>
      <c r="AG230">
        <f t="shared" si="33"/>
        <v>0</v>
      </c>
      <c r="AH230" t="str">
        <f t="shared" si="34"/>
        <v/>
      </c>
      <c r="AI230" t="str">
        <f t="shared" si="35"/>
        <v/>
      </c>
    </row>
    <row r="231" spans="1:35" x14ac:dyDescent="0.25">
      <c r="A231" s="9"/>
      <c r="B231" s="9"/>
      <c r="C231" s="9"/>
      <c r="D231" s="9"/>
      <c r="E231" s="9"/>
      <c r="F231" s="9"/>
      <c r="G231" s="9"/>
      <c r="H231" s="10"/>
      <c r="I231" s="10"/>
      <c r="J231" s="9"/>
      <c r="K231" s="11"/>
      <c r="L231" s="11"/>
      <c r="M231" s="12" t="str">
        <f t="shared" si="27"/>
        <v/>
      </c>
      <c r="N231" s="13"/>
      <c r="O231" s="13"/>
      <c r="P231" s="13"/>
      <c r="Q231" s="13"/>
      <c r="R231" s="13"/>
      <c r="S231" s="13"/>
      <c r="T231" s="13"/>
      <c r="U231" s="13"/>
      <c r="V231" s="13"/>
      <c r="W231" s="13"/>
      <c r="X231" s="13"/>
      <c r="Y231" s="13"/>
      <c r="Z231" s="9"/>
      <c r="AB231" t="str">
        <f t="shared" si="28"/>
        <v/>
      </c>
      <c r="AC231">
        <f t="shared" si="29"/>
        <v>0</v>
      </c>
      <c r="AD231">
        <f t="shared" si="30"/>
        <v>0</v>
      </c>
      <c r="AE231" t="str">
        <f t="shared" si="31"/>
        <v/>
      </c>
      <c r="AF231" t="str">
        <f t="shared" si="32"/>
        <v/>
      </c>
      <c r="AG231">
        <f t="shared" si="33"/>
        <v>0</v>
      </c>
      <c r="AH231" t="str">
        <f t="shared" si="34"/>
        <v/>
      </c>
      <c r="AI231" t="str">
        <f t="shared" si="35"/>
        <v/>
      </c>
    </row>
    <row r="232" spans="1:35" x14ac:dyDescent="0.25">
      <c r="A232" s="9"/>
      <c r="B232" s="9"/>
      <c r="C232" s="9"/>
      <c r="D232" s="9"/>
      <c r="E232" s="9"/>
      <c r="F232" s="9"/>
      <c r="G232" s="9"/>
      <c r="H232" s="10"/>
      <c r="I232" s="10"/>
      <c r="J232" s="9"/>
      <c r="K232" s="11"/>
      <c r="L232" s="11"/>
      <c r="M232" s="12" t="str">
        <f t="shared" si="27"/>
        <v/>
      </c>
      <c r="N232" s="13"/>
      <c r="O232" s="13"/>
      <c r="P232" s="13"/>
      <c r="Q232" s="13"/>
      <c r="R232" s="13"/>
      <c r="S232" s="13"/>
      <c r="T232" s="13"/>
      <c r="U232" s="13"/>
      <c r="V232" s="13"/>
      <c r="W232" s="13"/>
      <c r="X232" s="13"/>
      <c r="Y232" s="13"/>
      <c r="Z232" s="9"/>
      <c r="AB232" t="str">
        <f t="shared" si="28"/>
        <v/>
      </c>
      <c r="AC232">
        <f t="shared" si="29"/>
        <v>0</v>
      </c>
      <c r="AD232">
        <f t="shared" si="30"/>
        <v>0</v>
      </c>
      <c r="AE232" t="str">
        <f t="shared" si="31"/>
        <v/>
      </c>
      <c r="AF232" t="str">
        <f t="shared" si="32"/>
        <v/>
      </c>
      <c r="AG232">
        <f t="shared" si="33"/>
        <v>0</v>
      </c>
      <c r="AH232" t="str">
        <f t="shared" si="34"/>
        <v/>
      </c>
      <c r="AI232" t="str">
        <f t="shared" si="35"/>
        <v/>
      </c>
    </row>
    <row r="233" spans="1:35" x14ac:dyDescent="0.25">
      <c r="A233" s="9"/>
      <c r="B233" s="9"/>
      <c r="C233" s="9"/>
      <c r="D233" s="9"/>
      <c r="E233" s="9"/>
      <c r="F233" s="9"/>
      <c r="G233" s="9"/>
      <c r="H233" s="10"/>
      <c r="I233" s="10"/>
      <c r="J233" s="9"/>
      <c r="K233" s="11"/>
      <c r="L233" s="11"/>
      <c r="M233" s="12" t="str">
        <f t="shared" si="27"/>
        <v/>
      </c>
      <c r="N233" s="13"/>
      <c r="O233" s="13"/>
      <c r="P233" s="13"/>
      <c r="Q233" s="13"/>
      <c r="R233" s="13"/>
      <c r="S233" s="13"/>
      <c r="T233" s="13"/>
      <c r="U233" s="13"/>
      <c r="V233" s="13"/>
      <c r="W233" s="13"/>
      <c r="X233" s="13"/>
      <c r="Y233" s="13"/>
      <c r="Z233" s="9"/>
      <c r="AB233" t="str">
        <f t="shared" si="28"/>
        <v/>
      </c>
      <c r="AC233">
        <f t="shared" si="29"/>
        <v>0</v>
      </c>
      <c r="AD233">
        <f t="shared" si="30"/>
        <v>0</v>
      </c>
      <c r="AE233" t="str">
        <f t="shared" si="31"/>
        <v/>
      </c>
      <c r="AF233" t="str">
        <f t="shared" si="32"/>
        <v/>
      </c>
      <c r="AG233">
        <f t="shared" si="33"/>
        <v>0</v>
      </c>
      <c r="AH233" t="str">
        <f t="shared" si="34"/>
        <v/>
      </c>
      <c r="AI233" t="str">
        <f t="shared" si="35"/>
        <v/>
      </c>
    </row>
    <row r="234" spans="1:35" x14ac:dyDescent="0.25">
      <c r="A234" s="9"/>
      <c r="B234" s="9"/>
      <c r="C234" s="9"/>
      <c r="D234" s="9"/>
      <c r="E234" s="9"/>
      <c r="F234" s="9"/>
      <c r="G234" s="9"/>
      <c r="H234" s="10"/>
      <c r="I234" s="10"/>
      <c r="J234" s="9"/>
      <c r="K234" s="11"/>
      <c r="L234" s="11"/>
      <c r="M234" s="12" t="str">
        <f t="shared" si="27"/>
        <v/>
      </c>
      <c r="N234" s="13"/>
      <c r="O234" s="13"/>
      <c r="P234" s="13"/>
      <c r="Q234" s="13"/>
      <c r="R234" s="13"/>
      <c r="S234" s="13"/>
      <c r="T234" s="13"/>
      <c r="U234" s="13"/>
      <c r="V234" s="13"/>
      <c r="W234" s="13"/>
      <c r="X234" s="13"/>
      <c r="Y234" s="13"/>
      <c r="Z234" s="9"/>
      <c r="AB234" t="str">
        <f t="shared" si="28"/>
        <v/>
      </c>
      <c r="AC234">
        <f t="shared" si="29"/>
        <v>0</v>
      </c>
      <c r="AD234">
        <f t="shared" si="30"/>
        <v>0</v>
      </c>
      <c r="AE234" t="str">
        <f t="shared" si="31"/>
        <v/>
      </c>
      <c r="AF234" t="str">
        <f t="shared" si="32"/>
        <v/>
      </c>
      <c r="AG234">
        <f t="shared" si="33"/>
        <v>0</v>
      </c>
      <c r="AH234" t="str">
        <f t="shared" si="34"/>
        <v/>
      </c>
      <c r="AI234" t="str">
        <f t="shared" si="35"/>
        <v/>
      </c>
    </row>
    <row r="235" spans="1:35" x14ac:dyDescent="0.25">
      <c r="A235" s="9"/>
      <c r="B235" s="9"/>
      <c r="C235" s="9"/>
      <c r="D235" s="9"/>
      <c r="E235" s="9"/>
      <c r="F235" s="9"/>
      <c r="G235" s="9"/>
      <c r="H235" s="10"/>
      <c r="I235" s="10"/>
      <c r="J235" s="9"/>
      <c r="K235" s="11"/>
      <c r="L235" s="11"/>
      <c r="M235" s="12" t="str">
        <f t="shared" si="27"/>
        <v/>
      </c>
      <c r="N235" s="13"/>
      <c r="O235" s="13"/>
      <c r="P235" s="13"/>
      <c r="Q235" s="13"/>
      <c r="R235" s="13"/>
      <c r="S235" s="13"/>
      <c r="T235" s="13"/>
      <c r="U235" s="13"/>
      <c r="V235" s="13"/>
      <c r="W235" s="13"/>
      <c r="X235" s="13"/>
      <c r="Y235" s="13"/>
      <c r="Z235" s="9"/>
      <c r="AB235" t="str">
        <f t="shared" si="28"/>
        <v/>
      </c>
      <c r="AC235">
        <f t="shared" si="29"/>
        <v>0</v>
      </c>
      <c r="AD235">
        <f t="shared" si="30"/>
        <v>0</v>
      </c>
      <c r="AE235" t="str">
        <f t="shared" si="31"/>
        <v/>
      </c>
      <c r="AF235" t="str">
        <f t="shared" si="32"/>
        <v/>
      </c>
      <c r="AG235">
        <f t="shared" si="33"/>
        <v>0</v>
      </c>
      <c r="AH235" t="str">
        <f t="shared" si="34"/>
        <v/>
      </c>
      <c r="AI235" t="str">
        <f t="shared" si="35"/>
        <v/>
      </c>
    </row>
    <row r="236" spans="1:35" x14ac:dyDescent="0.25">
      <c r="A236" s="9"/>
      <c r="B236" s="9"/>
      <c r="C236" s="9"/>
      <c r="D236" s="9"/>
      <c r="E236" s="9"/>
      <c r="F236" s="9"/>
      <c r="G236" s="9"/>
      <c r="H236" s="10"/>
      <c r="I236" s="10"/>
      <c r="J236" s="9"/>
      <c r="K236" s="11"/>
      <c r="L236" s="11"/>
      <c r="M236" s="12" t="str">
        <f t="shared" si="27"/>
        <v/>
      </c>
      <c r="N236" s="13"/>
      <c r="O236" s="13"/>
      <c r="P236" s="13"/>
      <c r="Q236" s="13"/>
      <c r="R236" s="13"/>
      <c r="S236" s="13"/>
      <c r="T236" s="13"/>
      <c r="U236" s="13"/>
      <c r="V236" s="13"/>
      <c r="W236" s="13"/>
      <c r="X236" s="13"/>
      <c r="Y236" s="13"/>
      <c r="Z236" s="9"/>
      <c r="AB236" t="str">
        <f t="shared" si="28"/>
        <v/>
      </c>
      <c r="AC236">
        <f t="shared" si="29"/>
        <v>0</v>
      </c>
      <c r="AD236">
        <f t="shared" si="30"/>
        <v>0</v>
      </c>
      <c r="AE236" t="str">
        <f t="shared" si="31"/>
        <v/>
      </c>
      <c r="AF236" t="str">
        <f t="shared" si="32"/>
        <v/>
      </c>
      <c r="AG236">
        <f t="shared" si="33"/>
        <v>0</v>
      </c>
      <c r="AH236" t="str">
        <f t="shared" si="34"/>
        <v/>
      </c>
      <c r="AI236" t="str">
        <f t="shared" si="35"/>
        <v/>
      </c>
    </row>
    <row r="237" spans="1:35" x14ac:dyDescent="0.25">
      <c r="A237" s="9"/>
      <c r="B237" s="9"/>
      <c r="C237" s="9"/>
      <c r="D237" s="9"/>
      <c r="E237" s="9"/>
      <c r="F237" s="9"/>
      <c r="G237" s="9"/>
      <c r="H237" s="10"/>
      <c r="I237" s="10"/>
      <c r="J237" s="9"/>
      <c r="K237" s="11"/>
      <c r="L237" s="11"/>
      <c r="M237" s="12" t="str">
        <f t="shared" si="27"/>
        <v/>
      </c>
      <c r="N237" s="13"/>
      <c r="O237" s="13"/>
      <c r="P237" s="13"/>
      <c r="Q237" s="13"/>
      <c r="R237" s="13"/>
      <c r="S237" s="13"/>
      <c r="T237" s="13"/>
      <c r="U237" s="13"/>
      <c r="V237" s="13"/>
      <c r="W237" s="13"/>
      <c r="X237" s="13"/>
      <c r="Y237" s="13"/>
      <c r="Z237" s="9"/>
      <c r="AB237" t="str">
        <f t="shared" si="28"/>
        <v/>
      </c>
      <c r="AC237">
        <f t="shared" si="29"/>
        <v>0</v>
      </c>
      <c r="AD237">
        <f t="shared" si="30"/>
        <v>0</v>
      </c>
      <c r="AE237" t="str">
        <f t="shared" si="31"/>
        <v/>
      </c>
      <c r="AF237" t="str">
        <f t="shared" si="32"/>
        <v/>
      </c>
      <c r="AG237">
        <f t="shared" si="33"/>
        <v>0</v>
      </c>
      <c r="AH237" t="str">
        <f t="shared" si="34"/>
        <v/>
      </c>
      <c r="AI237" t="str">
        <f t="shared" si="35"/>
        <v/>
      </c>
    </row>
    <row r="238" spans="1:35" x14ac:dyDescent="0.25">
      <c r="A238" s="9"/>
      <c r="B238" s="9"/>
      <c r="C238" s="9"/>
      <c r="D238" s="9"/>
      <c r="E238" s="9"/>
      <c r="F238" s="9"/>
      <c r="G238" s="9"/>
      <c r="H238" s="10"/>
      <c r="I238" s="10"/>
      <c r="J238" s="9"/>
      <c r="K238" s="11"/>
      <c r="L238" s="11"/>
      <c r="M238" s="12" t="str">
        <f t="shared" si="27"/>
        <v/>
      </c>
      <c r="N238" s="13"/>
      <c r="O238" s="13"/>
      <c r="P238" s="13"/>
      <c r="Q238" s="13"/>
      <c r="R238" s="13"/>
      <c r="S238" s="13"/>
      <c r="T238" s="13"/>
      <c r="U238" s="13"/>
      <c r="V238" s="13"/>
      <c r="W238" s="13"/>
      <c r="X238" s="13"/>
      <c r="Y238" s="13"/>
      <c r="Z238" s="9"/>
      <c r="AB238" t="str">
        <f t="shared" si="28"/>
        <v/>
      </c>
      <c r="AC238">
        <f t="shared" si="29"/>
        <v>0</v>
      </c>
      <c r="AD238">
        <f t="shared" si="30"/>
        <v>0</v>
      </c>
      <c r="AE238" t="str">
        <f t="shared" si="31"/>
        <v/>
      </c>
      <c r="AF238" t="str">
        <f t="shared" si="32"/>
        <v/>
      </c>
      <c r="AG238">
        <f t="shared" si="33"/>
        <v>0</v>
      </c>
      <c r="AH238" t="str">
        <f t="shared" si="34"/>
        <v/>
      </c>
      <c r="AI238" t="str">
        <f t="shared" si="35"/>
        <v/>
      </c>
    </row>
    <row r="239" spans="1:35" x14ac:dyDescent="0.25">
      <c r="A239" s="9"/>
      <c r="B239" s="9"/>
      <c r="C239" s="9"/>
      <c r="D239" s="9"/>
      <c r="E239" s="9"/>
      <c r="F239" s="9"/>
      <c r="G239" s="9"/>
      <c r="H239" s="10"/>
      <c r="I239" s="10"/>
      <c r="J239" s="9"/>
      <c r="K239" s="11"/>
      <c r="L239" s="11"/>
      <c r="M239" s="12" t="str">
        <f t="shared" si="27"/>
        <v/>
      </c>
      <c r="N239" s="13"/>
      <c r="O239" s="13"/>
      <c r="P239" s="13"/>
      <c r="Q239" s="13"/>
      <c r="R239" s="13"/>
      <c r="S239" s="13"/>
      <c r="T239" s="13"/>
      <c r="U239" s="13"/>
      <c r="V239" s="13"/>
      <c r="W239" s="13"/>
      <c r="X239" s="13"/>
      <c r="Y239" s="13"/>
      <c r="Z239" s="9"/>
      <c r="AB239" t="str">
        <f t="shared" si="28"/>
        <v/>
      </c>
      <c r="AC239">
        <f t="shared" si="29"/>
        <v>0</v>
      </c>
      <c r="AD239">
        <f t="shared" si="30"/>
        <v>0</v>
      </c>
      <c r="AE239" t="str">
        <f t="shared" si="31"/>
        <v/>
      </c>
      <c r="AF239" t="str">
        <f t="shared" si="32"/>
        <v/>
      </c>
      <c r="AG239">
        <f t="shared" si="33"/>
        <v>0</v>
      </c>
      <c r="AH239" t="str">
        <f t="shared" si="34"/>
        <v/>
      </c>
      <c r="AI239" t="str">
        <f t="shared" si="35"/>
        <v/>
      </c>
    </row>
    <row r="240" spans="1:35" x14ac:dyDescent="0.25">
      <c r="A240" s="9"/>
      <c r="B240" s="9"/>
      <c r="C240" s="9"/>
      <c r="D240" s="9"/>
      <c r="E240" s="9"/>
      <c r="F240" s="9"/>
      <c r="G240" s="9"/>
      <c r="H240" s="10"/>
      <c r="I240" s="10"/>
      <c r="J240" s="9"/>
      <c r="K240" s="11"/>
      <c r="L240" s="11"/>
      <c r="M240" s="12" t="str">
        <f t="shared" si="27"/>
        <v/>
      </c>
      <c r="N240" s="13"/>
      <c r="O240" s="13"/>
      <c r="P240" s="13"/>
      <c r="Q240" s="13"/>
      <c r="R240" s="13"/>
      <c r="S240" s="13"/>
      <c r="T240" s="13"/>
      <c r="U240" s="13"/>
      <c r="V240" s="13"/>
      <c r="W240" s="13"/>
      <c r="X240" s="13"/>
      <c r="Y240" s="13"/>
      <c r="Z240" s="9"/>
      <c r="AB240" t="str">
        <f t="shared" si="28"/>
        <v/>
      </c>
      <c r="AC240">
        <f t="shared" si="29"/>
        <v>0</v>
      </c>
      <c r="AD240">
        <f t="shared" si="30"/>
        <v>0</v>
      </c>
      <c r="AE240" t="str">
        <f t="shared" si="31"/>
        <v/>
      </c>
      <c r="AF240" t="str">
        <f t="shared" si="32"/>
        <v/>
      </c>
      <c r="AG240">
        <f t="shared" si="33"/>
        <v>0</v>
      </c>
      <c r="AH240" t="str">
        <f t="shared" si="34"/>
        <v/>
      </c>
      <c r="AI240" t="str">
        <f t="shared" si="35"/>
        <v/>
      </c>
    </row>
    <row r="241" spans="1:35" x14ac:dyDescent="0.25">
      <c r="A241" s="9"/>
      <c r="B241" s="9"/>
      <c r="C241" s="9"/>
      <c r="D241" s="9"/>
      <c r="E241" s="9"/>
      <c r="F241" s="9"/>
      <c r="G241" s="9"/>
      <c r="H241" s="10"/>
      <c r="I241" s="10"/>
      <c r="J241" s="9"/>
      <c r="K241" s="11"/>
      <c r="L241" s="11"/>
      <c r="M241" s="12" t="str">
        <f t="shared" si="27"/>
        <v/>
      </c>
      <c r="N241" s="13"/>
      <c r="O241" s="13"/>
      <c r="P241" s="13"/>
      <c r="Q241" s="13"/>
      <c r="R241" s="13"/>
      <c r="S241" s="13"/>
      <c r="T241" s="13"/>
      <c r="U241" s="13"/>
      <c r="V241" s="13"/>
      <c r="W241" s="13"/>
      <c r="X241" s="13"/>
      <c r="Y241" s="13"/>
      <c r="Z241" s="9"/>
      <c r="AB241" t="str">
        <f t="shared" si="28"/>
        <v/>
      </c>
      <c r="AC241">
        <f t="shared" si="29"/>
        <v>0</v>
      </c>
      <c r="AD241">
        <f t="shared" si="30"/>
        <v>0</v>
      </c>
      <c r="AE241" t="str">
        <f t="shared" si="31"/>
        <v/>
      </c>
      <c r="AF241" t="str">
        <f t="shared" si="32"/>
        <v/>
      </c>
      <c r="AG241">
        <f t="shared" si="33"/>
        <v>0</v>
      </c>
      <c r="AH241" t="str">
        <f t="shared" si="34"/>
        <v/>
      </c>
      <c r="AI241" t="str">
        <f t="shared" si="35"/>
        <v/>
      </c>
    </row>
    <row r="242" spans="1:35" x14ac:dyDescent="0.25">
      <c r="A242" s="9"/>
      <c r="B242" s="9"/>
      <c r="C242" s="9"/>
      <c r="D242" s="9"/>
      <c r="E242" s="9"/>
      <c r="F242" s="9"/>
      <c r="G242" s="9"/>
      <c r="H242" s="10"/>
      <c r="I242" s="10"/>
      <c r="J242" s="9"/>
      <c r="K242" s="11"/>
      <c r="L242" s="11"/>
      <c r="M242" s="12" t="str">
        <f t="shared" si="27"/>
        <v/>
      </c>
      <c r="N242" s="13"/>
      <c r="O242" s="13"/>
      <c r="P242" s="13"/>
      <c r="Q242" s="13"/>
      <c r="R242" s="13"/>
      <c r="S242" s="13"/>
      <c r="T242" s="13"/>
      <c r="U242" s="13"/>
      <c r="V242" s="13"/>
      <c r="W242" s="13"/>
      <c r="X242" s="13"/>
      <c r="Y242" s="13"/>
      <c r="Z242" s="9"/>
      <c r="AB242" t="str">
        <f t="shared" si="28"/>
        <v/>
      </c>
      <c r="AC242">
        <f t="shared" si="29"/>
        <v>0</v>
      </c>
      <c r="AD242">
        <f t="shared" si="30"/>
        <v>0</v>
      </c>
      <c r="AE242" t="str">
        <f t="shared" si="31"/>
        <v/>
      </c>
      <c r="AF242" t="str">
        <f t="shared" si="32"/>
        <v/>
      </c>
      <c r="AG242">
        <f t="shared" si="33"/>
        <v>0</v>
      </c>
      <c r="AH242" t="str">
        <f t="shared" si="34"/>
        <v/>
      </c>
      <c r="AI242" t="str">
        <f t="shared" si="35"/>
        <v/>
      </c>
    </row>
    <row r="243" spans="1:35" x14ac:dyDescent="0.25">
      <c r="A243" s="9"/>
      <c r="B243" s="9"/>
      <c r="C243" s="9"/>
      <c r="D243" s="9"/>
      <c r="E243" s="9"/>
      <c r="F243" s="9"/>
      <c r="G243" s="9"/>
      <c r="H243" s="10"/>
      <c r="I243" s="10"/>
      <c r="J243" s="9"/>
      <c r="K243" s="11"/>
      <c r="L243" s="11"/>
      <c r="M243" s="12" t="str">
        <f t="shared" si="27"/>
        <v/>
      </c>
      <c r="N243" s="13"/>
      <c r="O243" s="13"/>
      <c r="P243" s="13"/>
      <c r="Q243" s="13"/>
      <c r="R243" s="13"/>
      <c r="S243" s="13"/>
      <c r="T243" s="13"/>
      <c r="U243" s="13"/>
      <c r="V243" s="13"/>
      <c r="W243" s="13"/>
      <c r="X243" s="13"/>
      <c r="Y243" s="13"/>
      <c r="Z243" s="9"/>
      <c r="AB243" t="str">
        <f t="shared" si="28"/>
        <v/>
      </c>
      <c r="AC243">
        <f t="shared" si="29"/>
        <v>0</v>
      </c>
      <c r="AD243">
        <f t="shared" si="30"/>
        <v>0</v>
      </c>
      <c r="AE243" t="str">
        <f t="shared" si="31"/>
        <v/>
      </c>
      <c r="AF243" t="str">
        <f t="shared" si="32"/>
        <v/>
      </c>
      <c r="AG243">
        <f t="shared" si="33"/>
        <v>0</v>
      </c>
      <c r="AH243" t="str">
        <f t="shared" si="34"/>
        <v/>
      </c>
      <c r="AI243" t="str">
        <f t="shared" si="35"/>
        <v/>
      </c>
    </row>
    <row r="244" spans="1:35" x14ac:dyDescent="0.25">
      <c r="A244" s="9"/>
      <c r="B244" s="9"/>
      <c r="C244" s="9"/>
      <c r="D244" s="9"/>
      <c r="E244" s="9"/>
      <c r="F244" s="9"/>
      <c r="G244" s="9"/>
      <c r="H244" s="10"/>
      <c r="I244" s="10"/>
      <c r="J244" s="9"/>
      <c r="K244" s="11"/>
      <c r="L244" s="11"/>
      <c r="M244" s="12" t="str">
        <f t="shared" si="27"/>
        <v/>
      </c>
      <c r="N244" s="13"/>
      <c r="O244" s="13"/>
      <c r="P244" s="13"/>
      <c r="Q244" s="13"/>
      <c r="R244" s="13"/>
      <c r="S244" s="13"/>
      <c r="T244" s="13"/>
      <c r="U244" s="13"/>
      <c r="V244" s="13"/>
      <c r="W244" s="13"/>
      <c r="X244" s="13"/>
      <c r="Y244" s="13"/>
      <c r="Z244" s="9"/>
      <c r="AB244" t="str">
        <f t="shared" si="28"/>
        <v/>
      </c>
      <c r="AC244">
        <f t="shared" si="29"/>
        <v>0</v>
      </c>
      <c r="AD244">
        <f t="shared" si="30"/>
        <v>0</v>
      </c>
      <c r="AE244" t="str">
        <f t="shared" si="31"/>
        <v/>
      </c>
      <c r="AF244" t="str">
        <f t="shared" si="32"/>
        <v/>
      </c>
      <c r="AG244">
        <f t="shared" si="33"/>
        <v>0</v>
      </c>
      <c r="AH244" t="str">
        <f t="shared" si="34"/>
        <v/>
      </c>
      <c r="AI244" t="str">
        <f t="shared" si="35"/>
        <v/>
      </c>
    </row>
    <row r="245" spans="1:35" x14ac:dyDescent="0.25">
      <c r="A245" s="9"/>
      <c r="B245" s="9"/>
      <c r="C245" s="9"/>
      <c r="D245" s="9"/>
      <c r="E245" s="9"/>
      <c r="F245" s="9"/>
      <c r="G245" s="9"/>
      <c r="H245" s="10"/>
      <c r="I245" s="10"/>
      <c r="J245" s="9"/>
      <c r="K245" s="11"/>
      <c r="L245" s="11"/>
      <c r="M245" s="12" t="str">
        <f t="shared" si="27"/>
        <v/>
      </c>
      <c r="N245" s="13"/>
      <c r="O245" s="13"/>
      <c r="P245" s="13"/>
      <c r="Q245" s="13"/>
      <c r="R245" s="13"/>
      <c r="S245" s="13"/>
      <c r="T245" s="13"/>
      <c r="U245" s="13"/>
      <c r="V245" s="13"/>
      <c r="W245" s="13"/>
      <c r="X245" s="13"/>
      <c r="Y245" s="13"/>
      <c r="Z245" s="9"/>
      <c r="AB245" t="str">
        <f t="shared" si="28"/>
        <v/>
      </c>
      <c r="AC245">
        <f t="shared" si="29"/>
        <v>0</v>
      </c>
      <c r="AD245">
        <f t="shared" si="30"/>
        <v>0</v>
      </c>
      <c r="AE245" t="str">
        <f t="shared" si="31"/>
        <v/>
      </c>
      <c r="AF245" t="str">
        <f t="shared" si="32"/>
        <v/>
      </c>
      <c r="AG245">
        <f t="shared" si="33"/>
        <v>0</v>
      </c>
      <c r="AH245" t="str">
        <f t="shared" si="34"/>
        <v/>
      </c>
      <c r="AI245" t="str">
        <f t="shared" si="35"/>
        <v/>
      </c>
    </row>
    <row r="246" spans="1:35" x14ac:dyDescent="0.25">
      <c r="A246" s="9"/>
      <c r="B246" s="9"/>
      <c r="C246" s="9"/>
      <c r="D246" s="9"/>
      <c r="E246" s="9"/>
      <c r="F246" s="9"/>
      <c r="G246" s="9"/>
      <c r="H246" s="10"/>
      <c r="I246" s="10"/>
      <c r="J246" s="9"/>
      <c r="K246" s="11"/>
      <c r="L246" s="11"/>
      <c r="M246" s="12" t="str">
        <f t="shared" si="27"/>
        <v/>
      </c>
      <c r="N246" s="13"/>
      <c r="O246" s="13"/>
      <c r="P246" s="13"/>
      <c r="Q246" s="13"/>
      <c r="R246" s="13"/>
      <c r="S246" s="13"/>
      <c r="T246" s="13"/>
      <c r="U246" s="13"/>
      <c r="V246" s="13"/>
      <c r="W246" s="13"/>
      <c r="X246" s="13"/>
      <c r="Y246" s="13"/>
      <c r="Z246" s="9"/>
      <c r="AB246" t="str">
        <f t="shared" si="28"/>
        <v/>
      </c>
      <c r="AC246">
        <f t="shared" si="29"/>
        <v>0</v>
      </c>
      <c r="AD246">
        <f t="shared" si="30"/>
        <v>0</v>
      </c>
      <c r="AE246" t="str">
        <f t="shared" si="31"/>
        <v/>
      </c>
      <c r="AF246" t="str">
        <f t="shared" si="32"/>
        <v/>
      </c>
      <c r="AG246">
        <f t="shared" si="33"/>
        <v>0</v>
      </c>
      <c r="AH246" t="str">
        <f t="shared" si="34"/>
        <v/>
      </c>
      <c r="AI246" t="str">
        <f t="shared" si="35"/>
        <v/>
      </c>
    </row>
    <row r="247" spans="1:35" x14ac:dyDescent="0.25">
      <c r="A247" s="9"/>
      <c r="B247" s="9"/>
      <c r="C247" s="9"/>
      <c r="D247" s="9"/>
      <c r="E247" s="9"/>
      <c r="F247" s="9"/>
      <c r="G247" s="9"/>
      <c r="H247" s="10"/>
      <c r="I247" s="10"/>
      <c r="J247" s="9"/>
      <c r="K247" s="11"/>
      <c r="L247" s="11"/>
      <c r="M247" s="12" t="str">
        <f t="shared" si="27"/>
        <v/>
      </c>
      <c r="N247" s="13"/>
      <c r="O247" s="13"/>
      <c r="P247" s="13"/>
      <c r="Q247" s="13"/>
      <c r="R247" s="13"/>
      <c r="S247" s="13"/>
      <c r="T247" s="13"/>
      <c r="U247" s="13"/>
      <c r="V247" s="13"/>
      <c r="W247" s="13"/>
      <c r="X247" s="13"/>
      <c r="Y247" s="13"/>
      <c r="Z247" s="9"/>
      <c r="AB247" t="str">
        <f t="shared" si="28"/>
        <v/>
      </c>
      <c r="AC247">
        <f t="shared" si="29"/>
        <v>0</v>
      </c>
      <c r="AD247">
        <f t="shared" si="30"/>
        <v>0</v>
      </c>
      <c r="AE247" t="str">
        <f t="shared" si="31"/>
        <v/>
      </c>
      <c r="AF247" t="str">
        <f t="shared" si="32"/>
        <v/>
      </c>
      <c r="AG247">
        <f t="shared" si="33"/>
        <v>0</v>
      </c>
      <c r="AH247" t="str">
        <f t="shared" si="34"/>
        <v/>
      </c>
      <c r="AI247" t="str">
        <f t="shared" si="35"/>
        <v/>
      </c>
    </row>
    <row r="248" spans="1:35" x14ac:dyDescent="0.25">
      <c r="A248" s="9"/>
      <c r="B248" s="9"/>
      <c r="C248" s="9"/>
      <c r="D248" s="9"/>
      <c r="E248" s="9"/>
      <c r="F248" s="9"/>
      <c r="G248" s="9"/>
      <c r="H248" s="10"/>
      <c r="I248" s="10"/>
      <c r="J248" s="9"/>
      <c r="K248" s="11"/>
      <c r="L248" s="11"/>
      <c r="M248" s="12" t="str">
        <f t="shared" si="27"/>
        <v/>
      </c>
      <c r="N248" s="13"/>
      <c r="O248" s="13"/>
      <c r="P248" s="13"/>
      <c r="Q248" s="13"/>
      <c r="R248" s="13"/>
      <c r="S248" s="13"/>
      <c r="T248" s="13"/>
      <c r="U248" s="13"/>
      <c r="V248" s="13"/>
      <c r="W248" s="13"/>
      <c r="X248" s="13"/>
      <c r="Y248" s="13"/>
      <c r="Z248" s="9"/>
      <c r="AB248" t="str">
        <f t="shared" si="28"/>
        <v/>
      </c>
      <c r="AC248">
        <f t="shared" si="29"/>
        <v>0</v>
      </c>
      <c r="AD248">
        <f t="shared" si="30"/>
        <v>0</v>
      </c>
      <c r="AE248" t="str">
        <f t="shared" si="31"/>
        <v/>
      </c>
      <c r="AF248" t="str">
        <f t="shared" si="32"/>
        <v/>
      </c>
      <c r="AG248">
        <f t="shared" si="33"/>
        <v>0</v>
      </c>
      <c r="AH248" t="str">
        <f t="shared" si="34"/>
        <v/>
      </c>
      <c r="AI248" t="str">
        <f t="shared" si="35"/>
        <v/>
      </c>
    </row>
    <row r="249" spans="1:35" x14ac:dyDescent="0.25">
      <c r="A249" s="9"/>
      <c r="B249" s="9"/>
      <c r="C249" s="9"/>
      <c r="D249" s="9"/>
      <c r="E249" s="9"/>
      <c r="F249" s="9"/>
      <c r="G249" s="9"/>
      <c r="H249" s="10"/>
      <c r="I249" s="10"/>
      <c r="J249" s="9"/>
      <c r="K249" s="11"/>
      <c r="L249" s="11"/>
      <c r="M249" s="12" t="str">
        <f t="shared" si="27"/>
        <v/>
      </c>
      <c r="N249" s="13"/>
      <c r="O249" s="13"/>
      <c r="P249" s="13"/>
      <c r="Q249" s="13"/>
      <c r="R249" s="13"/>
      <c r="S249" s="13"/>
      <c r="T249" s="13"/>
      <c r="U249" s="13"/>
      <c r="V249" s="13"/>
      <c r="W249" s="13"/>
      <c r="X249" s="13"/>
      <c r="Y249" s="13"/>
      <c r="Z249" s="9"/>
      <c r="AB249" t="str">
        <f t="shared" si="28"/>
        <v/>
      </c>
      <c r="AC249">
        <f t="shared" si="29"/>
        <v>0</v>
      </c>
      <c r="AD249">
        <f t="shared" si="30"/>
        <v>0</v>
      </c>
      <c r="AE249" t="str">
        <f t="shared" si="31"/>
        <v/>
      </c>
      <c r="AF249" t="str">
        <f t="shared" si="32"/>
        <v/>
      </c>
      <c r="AG249">
        <f t="shared" si="33"/>
        <v>0</v>
      </c>
      <c r="AH249" t="str">
        <f t="shared" si="34"/>
        <v/>
      </c>
      <c r="AI249" t="str">
        <f t="shared" si="35"/>
        <v/>
      </c>
    </row>
    <row r="250" spans="1:35" x14ac:dyDescent="0.25">
      <c r="A250" s="9"/>
      <c r="B250" s="9"/>
      <c r="C250" s="9"/>
      <c r="D250" s="9"/>
      <c r="E250" s="9"/>
      <c r="F250" s="9"/>
      <c r="G250" s="9"/>
      <c r="H250" s="10"/>
      <c r="I250" s="10"/>
      <c r="J250" s="9"/>
      <c r="K250" s="11"/>
      <c r="L250" s="11"/>
      <c r="M250" s="12" t="str">
        <f t="shared" si="27"/>
        <v/>
      </c>
      <c r="N250" s="13"/>
      <c r="O250" s="13"/>
      <c r="P250" s="13"/>
      <c r="Q250" s="13"/>
      <c r="R250" s="13"/>
      <c r="S250" s="13"/>
      <c r="T250" s="13"/>
      <c r="U250" s="13"/>
      <c r="V250" s="13"/>
      <c r="W250" s="13"/>
      <c r="X250" s="13"/>
      <c r="Y250" s="13"/>
      <c r="Z250" s="9"/>
      <c r="AB250" t="str">
        <f t="shared" si="28"/>
        <v/>
      </c>
      <c r="AC250">
        <f t="shared" si="29"/>
        <v>0</v>
      </c>
      <c r="AD250">
        <f t="shared" si="30"/>
        <v>0</v>
      </c>
      <c r="AE250" t="str">
        <f t="shared" si="31"/>
        <v/>
      </c>
      <c r="AF250" t="str">
        <f t="shared" si="32"/>
        <v/>
      </c>
      <c r="AG250">
        <f t="shared" si="33"/>
        <v>0</v>
      </c>
      <c r="AH250" t="str">
        <f t="shared" si="34"/>
        <v/>
      </c>
      <c r="AI250" t="str">
        <f t="shared" si="35"/>
        <v/>
      </c>
    </row>
    <row r="251" spans="1:35" x14ac:dyDescent="0.25">
      <c r="A251" s="9"/>
      <c r="B251" s="9"/>
      <c r="C251" s="9"/>
      <c r="D251" s="9"/>
      <c r="E251" s="9"/>
      <c r="F251" s="9"/>
      <c r="G251" s="9"/>
      <c r="H251" s="10"/>
      <c r="I251" s="10"/>
      <c r="J251" s="9"/>
      <c r="K251" s="11"/>
      <c r="L251" s="11"/>
      <c r="M251" s="12" t="str">
        <f t="shared" si="27"/>
        <v/>
      </c>
      <c r="N251" s="13"/>
      <c r="O251" s="13"/>
      <c r="P251" s="13"/>
      <c r="Q251" s="13"/>
      <c r="R251" s="13"/>
      <c r="S251" s="13"/>
      <c r="T251" s="13"/>
      <c r="U251" s="13"/>
      <c r="V251" s="13"/>
      <c r="W251" s="13"/>
      <c r="X251" s="13"/>
      <c r="Y251" s="13"/>
      <c r="Z251" s="9"/>
      <c r="AB251" t="str">
        <f t="shared" si="28"/>
        <v/>
      </c>
      <c r="AC251">
        <f t="shared" si="29"/>
        <v>0</v>
      </c>
      <c r="AD251">
        <f t="shared" si="30"/>
        <v>0</v>
      </c>
      <c r="AE251" t="str">
        <f t="shared" si="31"/>
        <v/>
      </c>
      <c r="AF251" t="str">
        <f t="shared" si="32"/>
        <v/>
      </c>
      <c r="AG251">
        <f t="shared" si="33"/>
        <v>0</v>
      </c>
      <c r="AH251" t="str">
        <f t="shared" si="34"/>
        <v/>
      </c>
      <c r="AI251" t="str">
        <f t="shared" si="35"/>
        <v/>
      </c>
    </row>
    <row r="252" spans="1:35" x14ac:dyDescent="0.25">
      <c r="A252" s="9"/>
      <c r="B252" s="9"/>
      <c r="C252" s="9"/>
      <c r="D252" s="9"/>
      <c r="E252" s="9"/>
      <c r="F252" s="9"/>
      <c r="G252" s="9"/>
      <c r="H252" s="10"/>
      <c r="I252" s="10"/>
      <c r="J252" s="9"/>
      <c r="K252" s="11"/>
      <c r="L252" s="11"/>
      <c r="M252" s="12" t="str">
        <f t="shared" si="27"/>
        <v/>
      </c>
      <c r="N252" s="13"/>
      <c r="O252" s="13"/>
      <c r="P252" s="13"/>
      <c r="Q252" s="13"/>
      <c r="R252" s="13"/>
      <c r="S252" s="13"/>
      <c r="T252" s="13"/>
      <c r="U252" s="13"/>
      <c r="V252" s="13"/>
      <c r="W252" s="13"/>
      <c r="X252" s="13"/>
      <c r="Y252" s="13"/>
      <c r="Z252" s="9"/>
      <c r="AB252" t="str">
        <f t="shared" si="28"/>
        <v/>
      </c>
      <c r="AC252">
        <f t="shared" si="29"/>
        <v>0</v>
      </c>
      <c r="AD252">
        <f t="shared" si="30"/>
        <v>0</v>
      </c>
      <c r="AE252" t="str">
        <f t="shared" si="31"/>
        <v/>
      </c>
      <c r="AF252" t="str">
        <f t="shared" si="32"/>
        <v/>
      </c>
      <c r="AG252">
        <f t="shared" si="33"/>
        <v>0</v>
      </c>
      <c r="AH252" t="str">
        <f t="shared" si="34"/>
        <v/>
      </c>
      <c r="AI252" t="str">
        <f t="shared" si="35"/>
        <v/>
      </c>
    </row>
    <row r="253" spans="1:35" x14ac:dyDescent="0.25">
      <c r="A253" s="9"/>
      <c r="B253" s="9"/>
      <c r="C253" s="9"/>
      <c r="D253" s="9"/>
      <c r="E253" s="9"/>
      <c r="F253" s="9"/>
      <c r="G253" s="9"/>
      <c r="H253" s="10"/>
      <c r="I253" s="10"/>
      <c r="J253" s="9"/>
      <c r="K253" s="11"/>
      <c r="L253" s="11"/>
      <c r="M253" s="12" t="str">
        <f t="shared" si="27"/>
        <v/>
      </c>
      <c r="N253" s="13"/>
      <c r="O253" s="13"/>
      <c r="P253" s="13"/>
      <c r="Q253" s="13"/>
      <c r="R253" s="13"/>
      <c r="S253" s="13"/>
      <c r="T253" s="13"/>
      <c r="U253" s="13"/>
      <c r="V253" s="13"/>
      <c r="W253" s="13"/>
      <c r="X253" s="13"/>
      <c r="Y253" s="13"/>
      <c r="Z253" s="9"/>
      <c r="AB253" t="str">
        <f t="shared" si="28"/>
        <v/>
      </c>
      <c r="AC253">
        <f t="shared" si="29"/>
        <v>0</v>
      </c>
      <c r="AD253">
        <f t="shared" si="30"/>
        <v>0</v>
      </c>
      <c r="AE253" t="str">
        <f t="shared" si="31"/>
        <v/>
      </c>
      <c r="AF253" t="str">
        <f t="shared" si="32"/>
        <v/>
      </c>
      <c r="AG253">
        <f t="shared" si="33"/>
        <v>0</v>
      </c>
      <c r="AH253" t="str">
        <f t="shared" si="34"/>
        <v/>
      </c>
      <c r="AI253" t="str">
        <f t="shared" si="35"/>
        <v/>
      </c>
    </row>
    <row r="254" spans="1:35" x14ac:dyDescent="0.25">
      <c r="A254" s="9"/>
      <c r="B254" s="9"/>
      <c r="C254" s="9"/>
      <c r="D254" s="9"/>
      <c r="E254" s="9"/>
      <c r="F254" s="9"/>
      <c r="G254" s="9"/>
      <c r="H254" s="10"/>
      <c r="I254" s="10"/>
      <c r="J254" s="9"/>
      <c r="K254" s="11"/>
      <c r="L254" s="11"/>
      <c r="M254" s="12" t="str">
        <f t="shared" si="27"/>
        <v/>
      </c>
      <c r="N254" s="13"/>
      <c r="O254" s="13"/>
      <c r="P254" s="13"/>
      <c r="Q254" s="13"/>
      <c r="R254" s="13"/>
      <c r="S254" s="13"/>
      <c r="T254" s="13"/>
      <c r="U254" s="13"/>
      <c r="V254" s="13"/>
      <c r="W254" s="13"/>
      <c r="X254" s="13"/>
      <c r="Y254" s="13"/>
      <c r="Z254" s="9"/>
      <c r="AB254" t="str">
        <f t="shared" si="28"/>
        <v/>
      </c>
      <c r="AC254">
        <f t="shared" si="29"/>
        <v>0</v>
      </c>
      <c r="AD254">
        <f t="shared" si="30"/>
        <v>0</v>
      </c>
      <c r="AE254" t="str">
        <f t="shared" si="31"/>
        <v/>
      </c>
      <c r="AF254" t="str">
        <f t="shared" si="32"/>
        <v/>
      </c>
      <c r="AG254">
        <f t="shared" si="33"/>
        <v>0</v>
      </c>
      <c r="AH254" t="str">
        <f t="shared" si="34"/>
        <v/>
      </c>
      <c r="AI254" t="str">
        <f t="shared" si="35"/>
        <v/>
      </c>
    </row>
    <row r="255" spans="1:35" x14ac:dyDescent="0.25">
      <c r="A255" s="9"/>
      <c r="B255" s="9"/>
      <c r="C255" s="9"/>
      <c r="D255" s="9"/>
      <c r="E255" s="9"/>
      <c r="F255" s="9"/>
      <c r="G255" s="9"/>
      <c r="H255" s="10"/>
      <c r="I255" s="10"/>
      <c r="J255" s="9"/>
      <c r="K255" s="11"/>
      <c r="L255" s="11"/>
      <c r="M255" s="12" t="str">
        <f t="shared" si="27"/>
        <v/>
      </c>
      <c r="N255" s="13"/>
      <c r="O255" s="13"/>
      <c r="P255" s="13"/>
      <c r="Q255" s="13"/>
      <c r="R255" s="13"/>
      <c r="S255" s="13"/>
      <c r="T255" s="13"/>
      <c r="U255" s="13"/>
      <c r="V255" s="13"/>
      <c r="W255" s="13"/>
      <c r="X255" s="13"/>
      <c r="Y255" s="13"/>
      <c r="Z255" s="9"/>
      <c r="AB255" t="str">
        <f t="shared" si="28"/>
        <v/>
      </c>
      <c r="AC255">
        <f t="shared" si="29"/>
        <v>0</v>
      </c>
      <c r="AD255">
        <f t="shared" si="30"/>
        <v>0</v>
      </c>
      <c r="AE255" t="str">
        <f t="shared" si="31"/>
        <v/>
      </c>
      <c r="AF255" t="str">
        <f t="shared" si="32"/>
        <v/>
      </c>
      <c r="AG255">
        <f t="shared" si="33"/>
        <v>0</v>
      </c>
      <c r="AH255" t="str">
        <f t="shared" si="34"/>
        <v/>
      </c>
      <c r="AI255" t="str">
        <f t="shared" si="35"/>
        <v/>
      </c>
    </row>
    <row r="256" spans="1:35" x14ac:dyDescent="0.25">
      <c r="A256" s="9"/>
      <c r="B256" s="9"/>
      <c r="C256" s="9"/>
      <c r="D256" s="9"/>
      <c r="E256" s="9"/>
      <c r="F256" s="9"/>
      <c r="G256" s="9"/>
      <c r="H256" s="10"/>
      <c r="I256" s="10"/>
      <c r="J256" s="9"/>
      <c r="K256" s="11"/>
      <c r="L256" s="11"/>
      <c r="M256" s="12" t="str">
        <f t="shared" si="27"/>
        <v/>
      </c>
      <c r="N256" s="13"/>
      <c r="O256" s="13"/>
      <c r="P256" s="13"/>
      <c r="Q256" s="13"/>
      <c r="R256" s="13"/>
      <c r="S256" s="13"/>
      <c r="T256" s="13"/>
      <c r="U256" s="13"/>
      <c r="V256" s="13"/>
      <c r="W256" s="13"/>
      <c r="X256" s="13"/>
      <c r="Y256" s="13"/>
      <c r="Z256" s="9"/>
      <c r="AB256" t="str">
        <f t="shared" si="28"/>
        <v/>
      </c>
      <c r="AC256">
        <f t="shared" si="29"/>
        <v>0</v>
      </c>
      <c r="AD256">
        <f t="shared" si="30"/>
        <v>0</v>
      </c>
      <c r="AE256" t="str">
        <f t="shared" si="31"/>
        <v/>
      </c>
      <c r="AF256" t="str">
        <f t="shared" si="32"/>
        <v/>
      </c>
      <c r="AG256">
        <f t="shared" si="33"/>
        <v>0</v>
      </c>
      <c r="AH256" t="str">
        <f t="shared" si="34"/>
        <v/>
      </c>
      <c r="AI256" t="str">
        <f t="shared" si="35"/>
        <v/>
      </c>
    </row>
    <row r="257" spans="1:35" x14ac:dyDescent="0.25">
      <c r="A257" s="9"/>
      <c r="B257" s="9"/>
      <c r="C257" s="9"/>
      <c r="D257" s="9"/>
      <c r="E257" s="9"/>
      <c r="F257" s="9"/>
      <c r="G257" s="9"/>
      <c r="H257" s="10"/>
      <c r="I257" s="10"/>
      <c r="J257" s="9"/>
      <c r="K257" s="11"/>
      <c r="L257" s="11"/>
      <c r="M257" s="12" t="str">
        <f t="shared" si="27"/>
        <v/>
      </c>
      <c r="N257" s="13"/>
      <c r="O257" s="13"/>
      <c r="P257" s="13"/>
      <c r="Q257" s="13"/>
      <c r="R257" s="13"/>
      <c r="S257" s="13"/>
      <c r="T257" s="13"/>
      <c r="U257" s="13"/>
      <c r="V257" s="13"/>
      <c r="W257" s="13"/>
      <c r="X257" s="13"/>
      <c r="Y257" s="13"/>
      <c r="Z257" s="9"/>
      <c r="AB257" t="str">
        <f t="shared" si="28"/>
        <v/>
      </c>
      <c r="AC257">
        <f t="shared" si="29"/>
        <v>0</v>
      </c>
      <c r="AD257">
        <f t="shared" si="30"/>
        <v>0</v>
      </c>
      <c r="AE257" t="str">
        <f t="shared" si="31"/>
        <v/>
      </c>
      <c r="AF257" t="str">
        <f t="shared" si="32"/>
        <v/>
      </c>
      <c r="AG257">
        <f t="shared" si="33"/>
        <v>0</v>
      </c>
      <c r="AH257" t="str">
        <f t="shared" si="34"/>
        <v/>
      </c>
      <c r="AI257" t="str">
        <f t="shared" si="35"/>
        <v/>
      </c>
    </row>
    <row r="258" spans="1:35" x14ac:dyDescent="0.25">
      <c r="A258" s="9"/>
      <c r="B258" s="9"/>
      <c r="C258" s="9"/>
      <c r="D258" s="9"/>
      <c r="E258" s="9"/>
      <c r="F258" s="9"/>
      <c r="G258" s="9"/>
      <c r="H258" s="10"/>
      <c r="I258" s="10"/>
      <c r="J258" s="9"/>
      <c r="K258" s="11"/>
      <c r="L258" s="11"/>
      <c r="M258" s="12" t="str">
        <f t="shared" si="27"/>
        <v/>
      </c>
      <c r="N258" s="13"/>
      <c r="O258" s="13"/>
      <c r="P258" s="13"/>
      <c r="Q258" s="13"/>
      <c r="R258" s="13"/>
      <c r="S258" s="13"/>
      <c r="T258" s="13"/>
      <c r="U258" s="13"/>
      <c r="V258" s="13"/>
      <c r="W258" s="13"/>
      <c r="X258" s="13"/>
      <c r="Y258" s="13"/>
      <c r="Z258" s="9"/>
      <c r="AB258" t="str">
        <f t="shared" si="28"/>
        <v/>
      </c>
      <c r="AC258">
        <f t="shared" si="29"/>
        <v>0</v>
      </c>
      <c r="AD258">
        <f t="shared" si="30"/>
        <v>0</v>
      </c>
      <c r="AE258" t="str">
        <f t="shared" si="31"/>
        <v/>
      </c>
      <c r="AF258" t="str">
        <f t="shared" si="32"/>
        <v/>
      </c>
      <c r="AG258">
        <f t="shared" si="33"/>
        <v>0</v>
      </c>
      <c r="AH258" t="str">
        <f t="shared" si="34"/>
        <v/>
      </c>
      <c r="AI258" t="str">
        <f t="shared" si="35"/>
        <v/>
      </c>
    </row>
    <row r="259" spans="1:35" x14ac:dyDescent="0.25">
      <c r="A259" s="9"/>
      <c r="B259" s="9"/>
      <c r="C259" s="9"/>
      <c r="D259" s="9"/>
      <c r="E259" s="9"/>
      <c r="F259" s="9"/>
      <c r="G259" s="9"/>
      <c r="H259" s="10"/>
      <c r="I259" s="10"/>
      <c r="J259" s="9"/>
      <c r="K259" s="11"/>
      <c r="L259" s="11"/>
      <c r="M259" s="12" t="str">
        <f t="shared" si="27"/>
        <v/>
      </c>
      <c r="N259" s="13"/>
      <c r="O259" s="13"/>
      <c r="P259" s="13"/>
      <c r="Q259" s="13"/>
      <c r="R259" s="13"/>
      <c r="S259" s="13"/>
      <c r="T259" s="13"/>
      <c r="U259" s="13"/>
      <c r="V259" s="13"/>
      <c r="W259" s="13"/>
      <c r="X259" s="13"/>
      <c r="Y259" s="13"/>
      <c r="Z259" s="9"/>
      <c r="AB259" t="str">
        <f t="shared" si="28"/>
        <v/>
      </c>
      <c r="AC259">
        <f t="shared" si="29"/>
        <v>0</v>
      </c>
      <c r="AD259">
        <f t="shared" si="30"/>
        <v>0</v>
      </c>
      <c r="AE259" t="str">
        <f t="shared" si="31"/>
        <v/>
      </c>
      <c r="AF259" t="str">
        <f t="shared" si="32"/>
        <v/>
      </c>
      <c r="AG259">
        <f t="shared" si="33"/>
        <v>0</v>
      </c>
      <c r="AH259" t="str">
        <f t="shared" si="34"/>
        <v/>
      </c>
      <c r="AI259" t="str">
        <f t="shared" si="35"/>
        <v/>
      </c>
    </row>
    <row r="260" spans="1:35" x14ac:dyDescent="0.25">
      <c r="A260" s="9"/>
      <c r="B260" s="9"/>
      <c r="C260" s="9"/>
      <c r="D260" s="9"/>
      <c r="E260" s="9"/>
      <c r="F260" s="9"/>
      <c r="G260" s="9"/>
      <c r="H260" s="10"/>
      <c r="I260" s="10"/>
      <c r="J260" s="9"/>
      <c r="K260" s="11"/>
      <c r="L260" s="11"/>
      <c r="M260" s="12" t="str">
        <f t="shared" si="27"/>
        <v/>
      </c>
      <c r="N260" s="13"/>
      <c r="O260" s="13"/>
      <c r="P260" s="13"/>
      <c r="Q260" s="13"/>
      <c r="R260" s="13"/>
      <c r="S260" s="13"/>
      <c r="T260" s="13"/>
      <c r="U260" s="13"/>
      <c r="V260" s="13"/>
      <c r="W260" s="13"/>
      <c r="X260" s="13"/>
      <c r="Y260" s="13"/>
      <c r="Z260" s="9"/>
      <c r="AB260" t="str">
        <f t="shared" si="28"/>
        <v/>
      </c>
      <c r="AC260">
        <f t="shared" si="29"/>
        <v>0</v>
      </c>
      <c r="AD260">
        <f t="shared" si="30"/>
        <v>0</v>
      </c>
      <c r="AE260" t="str">
        <f t="shared" si="31"/>
        <v/>
      </c>
      <c r="AF260" t="str">
        <f t="shared" si="32"/>
        <v/>
      </c>
      <c r="AG260">
        <f t="shared" si="33"/>
        <v>0</v>
      </c>
      <c r="AH260" t="str">
        <f t="shared" si="34"/>
        <v/>
      </c>
      <c r="AI260" t="str">
        <f t="shared" si="35"/>
        <v/>
      </c>
    </row>
    <row r="261" spans="1:35" x14ac:dyDescent="0.25">
      <c r="A261" s="9"/>
      <c r="B261" s="9"/>
      <c r="C261" s="9"/>
      <c r="D261" s="9"/>
      <c r="E261" s="9"/>
      <c r="F261" s="9"/>
      <c r="G261" s="9"/>
      <c r="H261" s="10"/>
      <c r="I261" s="10"/>
      <c r="J261" s="9"/>
      <c r="K261" s="11"/>
      <c r="L261" s="11"/>
      <c r="M261" s="12" t="str">
        <f t="shared" si="27"/>
        <v/>
      </c>
      <c r="N261" s="13"/>
      <c r="O261" s="13"/>
      <c r="P261" s="13"/>
      <c r="Q261" s="13"/>
      <c r="R261" s="13"/>
      <c r="S261" s="13"/>
      <c r="T261" s="13"/>
      <c r="U261" s="13"/>
      <c r="V261" s="13"/>
      <c r="W261" s="13"/>
      <c r="X261" s="13"/>
      <c r="Y261" s="13"/>
      <c r="Z261" s="9"/>
      <c r="AB261" t="str">
        <f t="shared" si="28"/>
        <v/>
      </c>
      <c r="AC261">
        <f t="shared" si="29"/>
        <v>0</v>
      </c>
      <c r="AD261">
        <f t="shared" si="30"/>
        <v>0</v>
      </c>
      <c r="AE261" t="str">
        <f t="shared" si="31"/>
        <v/>
      </c>
      <c r="AF261" t="str">
        <f t="shared" si="32"/>
        <v/>
      </c>
      <c r="AG261">
        <f t="shared" si="33"/>
        <v>0</v>
      </c>
      <c r="AH261" t="str">
        <f t="shared" si="34"/>
        <v/>
      </c>
      <c r="AI261" t="str">
        <f t="shared" si="35"/>
        <v/>
      </c>
    </row>
    <row r="262" spans="1:35" x14ac:dyDescent="0.25">
      <c r="A262" s="9"/>
      <c r="B262" s="9"/>
      <c r="C262" s="9"/>
      <c r="D262" s="9"/>
      <c r="E262" s="9"/>
      <c r="F262" s="9"/>
      <c r="G262" s="9"/>
      <c r="H262" s="10"/>
      <c r="I262" s="10"/>
      <c r="J262" s="9"/>
      <c r="K262" s="11"/>
      <c r="L262" s="11"/>
      <c r="M262" s="12" t="str">
        <f t="shared" si="27"/>
        <v/>
      </c>
      <c r="N262" s="13"/>
      <c r="O262" s="13"/>
      <c r="P262" s="13"/>
      <c r="Q262" s="13"/>
      <c r="R262" s="13"/>
      <c r="S262" s="13"/>
      <c r="T262" s="13"/>
      <c r="U262" s="13"/>
      <c r="V262" s="13"/>
      <c r="W262" s="13"/>
      <c r="X262" s="13"/>
      <c r="Y262" s="13"/>
      <c r="Z262" s="9"/>
      <c r="AB262" t="str">
        <f t="shared" si="28"/>
        <v/>
      </c>
      <c r="AC262">
        <f t="shared" si="29"/>
        <v>0</v>
      </c>
      <c r="AD262">
        <f t="shared" si="30"/>
        <v>0</v>
      </c>
      <c r="AE262" t="str">
        <f t="shared" si="31"/>
        <v/>
      </c>
      <c r="AF262" t="str">
        <f t="shared" si="32"/>
        <v/>
      </c>
      <c r="AG262">
        <f t="shared" si="33"/>
        <v>0</v>
      </c>
      <c r="AH262" t="str">
        <f t="shared" si="34"/>
        <v/>
      </c>
      <c r="AI262" t="str">
        <f t="shared" si="35"/>
        <v/>
      </c>
    </row>
    <row r="263" spans="1:35" x14ac:dyDescent="0.25">
      <c r="A263" s="9"/>
      <c r="B263" s="9"/>
      <c r="C263" s="9"/>
      <c r="D263" s="9"/>
      <c r="E263" s="9"/>
      <c r="F263" s="9"/>
      <c r="G263" s="9"/>
      <c r="H263" s="10"/>
      <c r="I263" s="10"/>
      <c r="J263" s="9"/>
      <c r="K263" s="11"/>
      <c r="L263" s="11"/>
      <c r="M263" s="12" t="str">
        <f t="shared" si="27"/>
        <v/>
      </c>
      <c r="N263" s="13"/>
      <c r="O263" s="13"/>
      <c r="P263" s="13"/>
      <c r="Q263" s="13"/>
      <c r="R263" s="13"/>
      <c r="S263" s="13"/>
      <c r="T263" s="13"/>
      <c r="U263" s="13"/>
      <c r="V263" s="13"/>
      <c r="W263" s="13"/>
      <c r="X263" s="13"/>
      <c r="Y263" s="13"/>
      <c r="Z263" s="9"/>
      <c r="AB263" t="str">
        <f t="shared" si="28"/>
        <v/>
      </c>
      <c r="AC263">
        <f t="shared" si="29"/>
        <v>0</v>
      </c>
      <c r="AD263">
        <f t="shared" si="30"/>
        <v>0</v>
      </c>
      <c r="AE263" t="str">
        <f t="shared" si="31"/>
        <v/>
      </c>
      <c r="AF263" t="str">
        <f t="shared" si="32"/>
        <v/>
      </c>
      <c r="AG263">
        <f t="shared" si="33"/>
        <v>0</v>
      </c>
      <c r="AH263" t="str">
        <f t="shared" si="34"/>
        <v/>
      </c>
      <c r="AI263" t="str">
        <f t="shared" si="35"/>
        <v/>
      </c>
    </row>
    <row r="264" spans="1:35" x14ac:dyDescent="0.25">
      <c r="A264" s="9"/>
      <c r="B264" s="9"/>
      <c r="C264" s="9"/>
      <c r="D264" s="9"/>
      <c r="E264" s="9"/>
      <c r="F264" s="9"/>
      <c r="G264" s="9"/>
      <c r="H264" s="10"/>
      <c r="I264" s="10"/>
      <c r="J264" s="9"/>
      <c r="K264" s="11"/>
      <c r="L264" s="11"/>
      <c r="M264" s="12" t="str">
        <f t="shared" si="27"/>
        <v/>
      </c>
      <c r="N264" s="13"/>
      <c r="O264" s="13"/>
      <c r="P264" s="13"/>
      <c r="Q264" s="13"/>
      <c r="R264" s="13"/>
      <c r="S264" s="13"/>
      <c r="T264" s="13"/>
      <c r="U264" s="13"/>
      <c r="V264" s="13"/>
      <c r="W264" s="13"/>
      <c r="X264" s="13"/>
      <c r="Y264" s="13"/>
      <c r="Z264" s="9"/>
      <c r="AB264" t="str">
        <f t="shared" si="28"/>
        <v/>
      </c>
      <c r="AC264">
        <f t="shared" si="29"/>
        <v>0</v>
      </c>
      <c r="AD264">
        <f t="shared" si="30"/>
        <v>0</v>
      </c>
      <c r="AE264" t="str">
        <f t="shared" si="31"/>
        <v/>
      </c>
      <c r="AF264" t="str">
        <f t="shared" si="32"/>
        <v/>
      </c>
      <c r="AG264">
        <f t="shared" si="33"/>
        <v>0</v>
      </c>
      <c r="AH264" t="str">
        <f t="shared" si="34"/>
        <v/>
      </c>
      <c r="AI264" t="str">
        <f t="shared" si="35"/>
        <v/>
      </c>
    </row>
    <row r="265" spans="1:35" x14ac:dyDescent="0.25">
      <c r="A265" s="9"/>
      <c r="B265" s="9"/>
      <c r="C265" s="9"/>
      <c r="D265" s="9"/>
      <c r="E265" s="9"/>
      <c r="F265" s="9"/>
      <c r="G265" s="9"/>
      <c r="H265" s="10"/>
      <c r="I265" s="10"/>
      <c r="J265" s="9"/>
      <c r="K265" s="11"/>
      <c r="L265" s="11"/>
      <c r="M265" s="12" t="str">
        <f t="shared" si="27"/>
        <v/>
      </c>
      <c r="N265" s="13"/>
      <c r="O265" s="13"/>
      <c r="P265" s="13"/>
      <c r="Q265" s="13"/>
      <c r="R265" s="13"/>
      <c r="S265" s="13"/>
      <c r="T265" s="13"/>
      <c r="U265" s="13"/>
      <c r="V265" s="13"/>
      <c r="W265" s="13"/>
      <c r="X265" s="13"/>
      <c r="Y265" s="13"/>
      <c r="Z265" s="9"/>
      <c r="AB265" t="str">
        <f t="shared" si="28"/>
        <v/>
      </c>
      <c r="AC265">
        <f t="shared" si="29"/>
        <v>0</v>
      </c>
      <c r="AD265">
        <f t="shared" si="30"/>
        <v>0</v>
      </c>
      <c r="AE265" t="str">
        <f t="shared" si="31"/>
        <v/>
      </c>
      <c r="AF265" t="str">
        <f t="shared" si="32"/>
        <v/>
      </c>
      <c r="AG265">
        <f t="shared" si="33"/>
        <v>0</v>
      </c>
      <c r="AH265" t="str">
        <f t="shared" si="34"/>
        <v/>
      </c>
      <c r="AI265" t="str">
        <f t="shared" si="35"/>
        <v/>
      </c>
    </row>
    <row r="266" spans="1:35" x14ac:dyDescent="0.25">
      <c r="A266" s="9"/>
      <c r="B266" s="9"/>
      <c r="C266" s="9"/>
      <c r="D266" s="9"/>
      <c r="E266" s="9"/>
      <c r="F266" s="9"/>
      <c r="G266" s="9"/>
      <c r="H266" s="10"/>
      <c r="I266" s="10"/>
      <c r="J266" s="9"/>
      <c r="K266" s="11"/>
      <c r="L266" s="11"/>
      <c r="M266" s="12" t="str">
        <f t="shared" si="27"/>
        <v/>
      </c>
      <c r="N266" s="13"/>
      <c r="O266" s="13"/>
      <c r="P266" s="13"/>
      <c r="Q266" s="13"/>
      <c r="R266" s="13"/>
      <c r="S266" s="13"/>
      <c r="T266" s="13"/>
      <c r="U266" s="13"/>
      <c r="V266" s="13"/>
      <c r="W266" s="13"/>
      <c r="X266" s="13"/>
      <c r="Y266" s="13"/>
      <c r="Z266" s="9"/>
      <c r="AB266" t="str">
        <f t="shared" si="28"/>
        <v/>
      </c>
      <c r="AC266">
        <f t="shared" si="29"/>
        <v>0</v>
      </c>
      <c r="AD266">
        <f t="shared" si="30"/>
        <v>0</v>
      </c>
      <c r="AE266" t="str">
        <f t="shared" si="31"/>
        <v/>
      </c>
      <c r="AF266" t="str">
        <f t="shared" si="32"/>
        <v/>
      </c>
      <c r="AG266">
        <f t="shared" si="33"/>
        <v>0</v>
      </c>
      <c r="AH266" t="str">
        <f t="shared" si="34"/>
        <v/>
      </c>
      <c r="AI266" t="str">
        <f t="shared" si="35"/>
        <v/>
      </c>
    </row>
    <row r="267" spans="1:35" x14ac:dyDescent="0.25">
      <c r="A267" s="9"/>
      <c r="B267" s="9"/>
      <c r="C267" s="9"/>
      <c r="D267" s="9"/>
      <c r="E267" s="9"/>
      <c r="F267" s="9"/>
      <c r="G267" s="9"/>
      <c r="H267" s="10"/>
      <c r="I267" s="10"/>
      <c r="J267" s="9"/>
      <c r="K267" s="11"/>
      <c r="L267" s="11"/>
      <c r="M267" s="12" t="str">
        <f t="shared" ref="M267:M310" si="36">IF(AB267="","",IF(AE267&lt;&gt;"","⚠ "&amp;AE267,"✔ "&amp;AI267&amp;IF(AG267&gt;0," · ⚠ "&amp;AG267&amp;IF(AG267=1," fecha cae"," fechas caen")&amp;" en festivo"&amp;IF(OR(AB267="Un día",AB267="Fechas específicas"),": revise la fecha",": se pasará al día hábil siguiente"),"")))</f>
        <v/>
      </c>
      <c r="N267" s="13"/>
      <c r="O267" s="13"/>
      <c r="P267" s="13"/>
      <c r="Q267" s="13"/>
      <c r="R267" s="13"/>
      <c r="S267" s="13"/>
      <c r="T267" s="13"/>
      <c r="U267" s="13"/>
      <c r="V267" s="13"/>
      <c r="W267" s="13"/>
      <c r="X267" s="13"/>
      <c r="Y267" s="13"/>
      <c r="Z267" s="9"/>
      <c r="AB267" t="str">
        <f t="shared" ref="AB267:AB310" si="37">IF(COUNTA(A267:L267,N267:Y267)=0,"",IF(OR(J267="En fechas específicas",AND(OR(J267="",J267="No"),K267="",COUNT(N267:Y267)&gt;0)),"Fechas específicas",IF(OR(J267="",J267="No"),IF(OR(L267="",L267=K267),"Un día","Varios días"),J267)))</f>
        <v/>
      </c>
      <c r="AC267">
        <f t="shared" ref="AC267:AC310" si="38">IF(AB267="Cada mes",1,IF(AB267="Cada 2 meses",2,IF(AB267="Cada 3 meses",3,IF(AB267="Cada 6 meses",6,0))))</f>
        <v>0</v>
      </c>
      <c r="AD267">
        <f t="shared" ref="AD267:AD310" si="39">IF(ISNUMBER(K267),INT((DAY(K267)-1)/7)+1,0)</f>
        <v>0</v>
      </c>
      <c r="AE267" t="str">
        <f t="shared" ref="AE267:AE310" si="40">IF(AB267="","",IF(A267="","Falta el nombre de la actividad",IF(B267="","Falta la categoría",IF(COUNTIF(Lista_Categoria,B267)=0,"Elija la categoría de la lista",IF(AND(F267="",_xlfn.SINGLE(SedePrincipal)=""),"Falta la sede: elíjala aquí o en «Datos del área»",IF(AND(F267&lt;&gt;"",COUNTIF(Lista_Sede,F267)=0),"Elija la sede de la lista",IF(AND(E267="",_xlfn.SINGLE(CalendarioPrincipal)=""),"Falta el calendario (Académico o Administrativo): elíjalo aquí o en «Datos del área»",IF(AND(E267&lt;&gt;"",COUNTIF(Lista_Calendario,E267)=0),"Elija el calendario de la lista",IF(G267="","Falta el lugar",IF(OR(AND(H267&lt;&gt;"",NOT(ISNUMBER(H267))),AND(I267&lt;&gt;"",NOT(ISNUMBER(I267)))),"Hora no válida: use hh:mm (ej. 14:30)",IF(AND(ISNUMBER(H267),ISNUMBER(I267),I267&lt;H267),"La hora fin es antes de la hora inicio",IF(AND(J267&lt;&gt;"",COUNTIF(Lista_Repite,J267)=0),"Elija una opción de la lista «¿Se repite?»",IF(AB267="Fechas específicas",IF(COUNTA(N267:Y267)&lt;&gt;COUNT(N267:Y267),"Alguna fecha de Fecha 1 a Fecha 12 no es válida: use dd/mm/aaaa",IF(COUNT(N267:Y267)=0,"Escriba las fechas en Fecha 1, Fecha 2…","")),IF(COUNTA(N267:Y267)&gt;0,"Escribió fechas en Fecha 1…12: elija «En fechas específicas» o bórrelas",IF(K267="","Falta la fecha en «Desde»",IF(NOT(ISNUMBER(K267)),"La fecha «Desde» no es válida: use dd/mm/aaaa",IF(AND(L267&lt;&gt;"",NOT(ISNUMBER(L267))),"La fecha «Hasta» no es válida: use dd/mm/aaaa",IF(AND(ISNUMBER(L267),L267&lt;K267),"«Hasta» es antes de «Desde»",IF(AND(AB267&lt;&gt;"Un día",AB267&lt;&gt;"Varios días",L267=""),"Falta «Hasta»: la última fecha en que se repite",IF(AND(ISNUMBER(L267),L267-K267&gt;730),"El periodo no puede pasar de 2 años",""))))))))))))))))))))</f>
        <v/>
      </c>
      <c r="AF267" t="str">
        <f t="shared" ref="AF267:AF310" si="41">IF(OR(AB267="",AE267&lt;&gt;""),"",IF(AB267="Fechas específicas",COUNT(N267:Y267),IF(OR(AB267="Un día",AB267="Varios días"),1,SUMPRODUCT((Dias&lt;=L267-K267)*((AB267="Cada semana")*(MOD(Dias,7)=0)+(AB267="Cada 15 días")*(MOD(Dias,14)=0)+(AC267&gt;0)*(WEEKDAY(K267+Dias)=WEEKDAY(K267))*((AD267=5)*(MONTH(K267+Dias+7)&lt;&gt;MONTH(K267+Dias))+(AD267&lt;5)*(INT((DAY(K267+Dias)-1)/7)+1=AD267))*(MOD((YEAR(K267+Dias)-YEAR(K267))*12+MONTH(K267+Dias)-MONTH(K267),MAX(AC267,1))=0))))))</f>
        <v/>
      </c>
      <c r="AG267">
        <f t="shared" ref="AG267:AG310" si="42">IF(AF267="",0,IF(AB267="Fechas específicas",SUMPRODUCT(COUNTIF(Festivos,N267:Y267)),IF(AB267="Un día",COUNTIF(Festivos,K267),IF(AB267="Varios días",0,SUMPRODUCT((Dias&lt;=L267-K267)*((AB267="Cada semana")*(MOD(Dias,7)=0)+(AB267="Cada 15 días")*(MOD(Dias,14)=0)+(AC267&gt;0)*(WEEKDAY(K267+Dias)=WEEKDAY(K267))*((AD267=5)*(MONTH(K267+Dias+7)&lt;&gt;MONTH(K267+Dias))+(AD267&lt;5)*(INT((DAY(K267+Dias)-1)/7)+1=AD267))*(MOD((YEAR(K267+Dias)-YEAR(K267))*12+MONTH(K267+Dias)-MONTH(K267),MAX(AC267,1))=0))*COUNTIF(Festivos,K267+Dias))))))</f>
        <v>0</v>
      </c>
      <c r="AH267" t="str">
        <f t="shared" ref="AH267:AH310" si="43">IF(AB267&lt;&gt;"Fechas específicas","",IF(ISNUMBER(N267),DAY(N267)&amp;" "&amp;CHOOSE(MONTH(N267),"ene","feb","mar","abr","may","jun","jul","ago","sep","oct","nov","dic")&amp;", ","")&amp;IF(ISNUMBER(O267),DAY(O267)&amp;" "&amp;CHOOSE(MONTH(O267),"ene","feb","mar","abr","may","jun","jul","ago","sep","oct","nov","dic")&amp;", ","")&amp;IF(ISNUMBER(P267),DAY(P267)&amp;" "&amp;CHOOSE(MONTH(P267),"ene","feb","mar","abr","may","jun","jul","ago","sep","oct","nov","dic")&amp;", ","")&amp;IF(ISNUMBER(Q267),DAY(Q267)&amp;" "&amp;CHOOSE(MONTH(Q267),"ene","feb","mar","abr","may","jun","jul","ago","sep","oct","nov","dic")&amp;", ","")&amp;IF(ISNUMBER(R267),DAY(R267)&amp;" "&amp;CHOOSE(MONTH(R267),"ene","feb","mar","abr","may","jun","jul","ago","sep","oct","nov","dic")&amp;", ","")&amp;IF(ISNUMBER(S267),DAY(S267)&amp;" "&amp;CHOOSE(MONTH(S267),"ene","feb","mar","abr","may","jun","jul","ago","sep","oct","nov","dic")&amp;", ","")&amp;IF(ISNUMBER(T267),DAY(T267)&amp;" "&amp;CHOOSE(MONTH(T267),"ene","feb","mar","abr","may","jun","jul","ago","sep","oct","nov","dic")&amp;", ","")&amp;IF(ISNUMBER(U267),DAY(U267)&amp;" "&amp;CHOOSE(MONTH(U267),"ene","feb","mar","abr","may","jun","jul","ago","sep","oct","nov","dic")&amp;", ","")&amp;IF(ISNUMBER(V267),DAY(V267)&amp;" "&amp;CHOOSE(MONTH(V267),"ene","feb","mar","abr","may","jun","jul","ago","sep","oct","nov","dic")&amp;", ","")&amp;IF(ISNUMBER(W267),DAY(W267)&amp;" "&amp;CHOOSE(MONTH(W267),"ene","feb","mar","abr","may","jun","jul","ago","sep","oct","nov","dic")&amp;", ","")&amp;IF(ISNUMBER(X267),DAY(X267)&amp;" "&amp;CHOOSE(MONTH(X267),"ene","feb","mar","abr","may","jun","jul","ago","sep","oct","nov","dic")&amp;", ","")&amp;IF(ISNUMBER(Y267),DAY(Y267)&amp;" "&amp;CHOOSE(MONTH(Y267),"ene","feb","mar","abr","may","jun","jul","ago","sep","oct","nov","dic")&amp;", ",""))</f>
        <v/>
      </c>
      <c r="AI267" t="str">
        <f t="shared" ref="AI267:AI310" si="44">IF(OR(AB267="",AE267&lt;&gt;""),"",IF(AB267="Un día","Un día: "&amp;CHOOSE(WEEKDAY(K267,2),"lunes","martes","miércoles","jueves","viernes","sábado","domingo")&amp;" "&amp;TEXT(DAY(K267),"00")&amp;"/"&amp;TEXT(MONTH(K267),"00")&amp;"/"&amp;YEAR(K267),IF(AB267="Varios días","Del "&amp;TEXT(DAY(K267),"00")&amp;"/"&amp;TEXT(MONTH(K267),"00")&amp;"/"&amp;YEAR(K267)&amp;" al "&amp;TEXT(DAY(L267),"00")&amp;"/"&amp;TEXT(MONTH(L267),"00")&amp;"/"&amp;YEAR(L267)&amp;" ("&amp;(L267-K267+1)&amp;" días)",IF(AB267="Fechas específicas",AF267&amp;IF(AF267=1," fecha: "," fechas: ")&amp;LEFT(AH267,LEN(AH267)-2),IF(AB267="Cada semana","Todos los "&amp;CHOOSE(WEEKDAY(K267,2),"lunes","martes","miércoles","jueves","viernes","sábados","domingos"),IF(AB267="Cada 15 días","Cada 15 días ("&amp;CHOOSE(WEEKDAY(K267,2),"lunes","martes","miércoles","jueves","viernes","sábados","domingos")&amp;" de por medio)",CHOOSE(AD267,"Primer","Segundo","Tercer","Cuarto","Último")&amp;" "&amp;CHOOSE(WEEKDAY(K267,2),"lunes","martes","miércoles","jueves","viernes","sábado","domingo")&amp;IF(AC267=1," de cada mes"," cada "&amp;AC267&amp;" meses")))&amp;", del "&amp;TEXT(DAY(K267),"00")&amp;"/"&amp;TEXT(MONTH(K267),"00")&amp;"/"&amp;YEAR(K267)&amp;" al "&amp;TEXT(DAY(L267),"00")&amp;"/"&amp;TEXT(MONTH(L267),"00")&amp;"/"&amp;YEAR(L267)&amp;" · "&amp;AF267&amp;IF(AF267=1," fecha"," fechas")))))</f>
        <v/>
      </c>
    </row>
    <row r="268" spans="1:35" x14ac:dyDescent="0.25">
      <c r="A268" s="9"/>
      <c r="B268" s="9"/>
      <c r="C268" s="9"/>
      <c r="D268" s="9"/>
      <c r="E268" s="9"/>
      <c r="F268" s="9"/>
      <c r="G268" s="9"/>
      <c r="H268" s="10"/>
      <c r="I268" s="10"/>
      <c r="J268" s="9"/>
      <c r="K268" s="11"/>
      <c r="L268" s="11"/>
      <c r="M268" s="12" t="str">
        <f t="shared" si="36"/>
        <v/>
      </c>
      <c r="N268" s="13"/>
      <c r="O268" s="13"/>
      <c r="P268" s="13"/>
      <c r="Q268" s="13"/>
      <c r="R268" s="13"/>
      <c r="S268" s="13"/>
      <c r="T268" s="13"/>
      <c r="U268" s="13"/>
      <c r="V268" s="13"/>
      <c r="W268" s="13"/>
      <c r="X268" s="13"/>
      <c r="Y268" s="13"/>
      <c r="Z268" s="9"/>
      <c r="AB268" t="str">
        <f t="shared" si="37"/>
        <v/>
      </c>
      <c r="AC268">
        <f t="shared" si="38"/>
        <v>0</v>
      </c>
      <c r="AD268">
        <f t="shared" si="39"/>
        <v>0</v>
      </c>
      <c r="AE268" t="str">
        <f t="shared" si="40"/>
        <v/>
      </c>
      <c r="AF268" t="str">
        <f t="shared" si="41"/>
        <v/>
      </c>
      <c r="AG268">
        <f t="shared" si="42"/>
        <v>0</v>
      </c>
      <c r="AH268" t="str">
        <f t="shared" si="43"/>
        <v/>
      </c>
      <c r="AI268" t="str">
        <f t="shared" si="44"/>
        <v/>
      </c>
    </row>
    <row r="269" spans="1:35" x14ac:dyDescent="0.25">
      <c r="A269" s="9"/>
      <c r="B269" s="9"/>
      <c r="C269" s="9"/>
      <c r="D269" s="9"/>
      <c r="E269" s="9"/>
      <c r="F269" s="9"/>
      <c r="G269" s="9"/>
      <c r="H269" s="10"/>
      <c r="I269" s="10"/>
      <c r="J269" s="9"/>
      <c r="K269" s="11"/>
      <c r="L269" s="11"/>
      <c r="M269" s="12" t="str">
        <f t="shared" si="36"/>
        <v/>
      </c>
      <c r="N269" s="13"/>
      <c r="O269" s="13"/>
      <c r="P269" s="13"/>
      <c r="Q269" s="13"/>
      <c r="R269" s="13"/>
      <c r="S269" s="13"/>
      <c r="T269" s="13"/>
      <c r="U269" s="13"/>
      <c r="V269" s="13"/>
      <c r="W269" s="13"/>
      <c r="X269" s="13"/>
      <c r="Y269" s="13"/>
      <c r="Z269" s="9"/>
      <c r="AB269" t="str">
        <f t="shared" si="37"/>
        <v/>
      </c>
      <c r="AC269">
        <f t="shared" si="38"/>
        <v>0</v>
      </c>
      <c r="AD269">
        <f t="shared" si="39"/>
        <v>0</v>
      </c>
      <c r="AE269" t="str">
        <f t="shared" si="40"/>
        <v/>
      </c>
      <c r="AF269" t="str">
        <f t="shared" si="41"/>
        <v/>
      </c>
      <c r="AG269">
        <f t="shared" si="42"/>
        <v>0</v>
      </c>
      <c r="AH269" t="str">
        <f t="shared" si="43"/>
        <v/>
      </c>
      <c r="AI269" t="str">
        <f t="shared" si="44"/>
        <v/>
      </c>
    </row>
    <row r="270" spans="1:35" x14ac:dyDescent="0.25">
      <c r="A270" s="9"/>
      <c r="B270" s="9"/>
      <c r="C270" s="9"/>
      <c r="D270" s="9"/>
      <c r="E270" s="9"/>
      <c r="F270" s="9"/>
      <c r="G270" s="9"/>
      <c r="H270" s="10"/>
      <c r="I270" s="10"/>
      <c r="J270" s="9"/>
      <c r="K270" s="11"/>
      <c r="L270" s="11"/>
      <c r="M270" s="12" t="str">
        <f t="shared" si="36"/>
        <v/>
      </c>
      <c r="N270" s="13"/>
      <c r="O270" s="13"/>
      <c r="P270" s="13"/>
      <c r="Q270" s="13"/>
      <c r="R270" s="13"/>
      <c r="S270" s="13"/>
      <c r="T270" s="13"/>
      <c r="U270" s="13"/>
      <c r="V270" s="13"/>
      <c r="W270" s="13"/>
      <c r="X270" s="13"/>
      <c r="Y270" s="13"/>
      <c r="Z270" s="9"/>
      <c r="AB270" t="str">
        <f t="shared" si="37"/>
        <v/>
      </c>
      <c r="AC270">
        <f t="shared" si="38"/>
        <v>0</v>
      </c>
      <c r="AD270">
        <f t="shared" si="39"/>
        <v>0</v>
      </c>
      <c r="AE270" t="str">
        <f t="shared" si="40"/>
        <v/>
      </c>
      <c r="AF270" t="str">
        <f t="shared" si="41"/>
        <v/>
      </c>
      <c r="AG270">
        <f t="shared" si="42"/>
        <v>0</v>
      </c>
      <c r="AH270" t="str">
        <f t="shared" si="43"/>
        <v/>
      </c>
      <c r="AI270" t="str">
        <f t="shared" si="44"/>
        <v/>
      </c>
    </row>
    <row r="271" spans="1:35" x14ac:dyDescent="0.25">
      <c r="A271" s="9"/>
      <c r="B271" s="9"/>
      <c r="C271" s="9"/>
      <c r="D271" s="9"/>
      <c r="E271" s="9"/>
      <c r="F271" s="9"/>
      <c r="G271" s="9"/>
      <c r="H271" s="10"/>
      <c r="I271" s="10"/>
      <c r="J271" s="9"/>
      <c r="K271" s="11"/>
      <c r="L271" s="11"/>
      <c r="M271" s="12" t="str">
        <f t="shared" si="36"/>
        <v/>
      </c>
      <c r="N271" s="13"/>
      <c r="O271" s="13"/>
      <c r="P271" s="13"/>
      <c r="Q271" s="13"/>
      <c r="R271" s="13"/>
      <c r="S271" s="13"/>
      <c r="T271" s="13"/>
      <c r="U271" s="13"/>
      <c r="V271" s="13"/>
      <c r="W271" s="13"/>
      <c r="X271" s="13"/>
      <c r="Y271" s="13"/>
      <c r="Z271" s="9"/>
      <c r="AB271" t="str">
        <f t="shared" si="37"/>
        <v/>
      </c>
      <c r="AC271">
        <f t="shared" si="38"/>
        <v>0</v>
      </c>
      <c r="AD271">
        <f t="shared" si="39"/>
        <v>0</v>
      </c>
      <c r="AE271" t="str">
        <f t="shared" si="40"/>
        <v/>
      </c>
      <c r="AF271" t="str">
        <f t="shared" si="41"/>
        <v/>
      </c>
      <c r="AG271">
        <f t="shared" si="42"/>
        <v>0</v>
      </c>
      <c r="AH271" t="str">
        <f t="shared" si="43"/>
        <v/>
      </c>
      <c r="AI271" t="str">
        <f t="shared" si="44"/>
        <v/>
      </c>
    </row>
    <row r="272" spans="1:35" x14ac:dyDescent="0.25">
      <c r="A272" s="9"/>
      <c r="B272" s="9"/>
      <c r="C272" s="9"/>
      <c r="D272" s="9"/>
      <c r="E272" s="9"/>
      <c r="F272" s="9"/>
      <c r="G272" s="9"/>
      <c r="H272" s="10"/>
      <c r="I272" s="10"/>
      <c r="J272" s="9"/>
      <c r="K272" s="11"/>
      <c r="L272" s="11"/>
      <c r="M272" s="12" t="str">
        <f t="shared" si="36"/>
        <v/>
      </c>
      <c r="N272" s="13"/>
      <c r="O272" s="13"/>
      <c r="P272" s="13"/>
      <c r="Q272" s="13"/>
      <c r="R272" s="13"/>
      <c r="S272" s="13"/>
      <c r="T272" s="13"/>
      <c r="U272" s="13"/>
      <c r="V272" s="13"/>
      <c r="W272" s="13"/>
      <c r="X272" s="13"/>
      <c r="Y272" s="13"/>
      <c r="Z272" s="9"/>
      <c r="AB272" t="str">
        <f t="shared" si="37"/>
        <v/>
      </c>
      <c r="AC272">
        <f t="shared" si="38"/>
        <v>0</v>
      </c>
      <c r="AD272">
        <f t="shared" si="39"/>
        <v>0</v>
      </c>
      <c r="AE272" t="str">
        <f t="shared" si="40"/>
        <v/>
      </c>
      <c r="AF272" t="str">
        <f t="shared" si="41"/>
        <v/>
      </c>
      <c r="AG272">
        <f t="shared" si="42"/>
        <v>0</v>
      </c>
      <c r="AH272" t="str">
        <f t="shared" si="43"/>
        <v/>
      </c>
      <c r="AI272" t="str">
        <f t="shared" si="44"/>
        <v/>
      </c>
    </row>
    <row r="273" spans="1:35" x14ac:dyDescent="0.25">
      <c r="A273" s="9"/>
      <c r="B273" s="9"/>
      <c r="C273" s="9"/>
      <c r="D273" s="9"/>
      <c r="E273" s="9"/>
      <c r="F273" s="9"/>
      <c r="G273" s="9"/>
      <c r="H273" s="10"/>
      <c r="I273" s="10"/>
      <c r="J273" s="9"/>
      <c r="K273" s="11"/>
      <c r="L273" s="11"/>
      <c r="M273" s="12" t="str">
        <f t="shared" si="36"/>
        <v/>
      </c>
      <c r="N273" s="13"/>
      <c r="O273" s="13"/>
      <c r="P273" s="13"/>
      <c r="Q273" s="13"/>
      <c r="R273" s="13"/>
      <c r="S273" s="13"/>
      <c r="T273" s="13"/>
      <c r="U273" s="13"/>
      <c r="V273" s="13"/>
      <c r="W273" s="13"/>
      <c r="X273" s="13"/>
      <c r="Y273" s="13"/>
      <c r="Z273" s="9"/>
      <c r="AB273" t="str">
        <f t="shared" si="37"/>
        <v/>
      </c>
      <c r="AC273">
        <f t="shared" si="38"/>
        <v>0</v>
      </c>
      <c r="AD273">
        <f t="shared" si="39"/>
        <v>0</v>
      </c>
      <c r="AE273" t="str">
        <f t="shared" si="40"/>
        <v/>
      </c>
      <c r="AF273" t="str">
        <f t="shared" si="41"/>
        <v/>
      </c>
      <c r="AG273">
        <f t="shared" si="42"/>
        <v>0</v>
      </c>
      <c r="AH273" t="str">
        <f t="shared" si="43"/>
        <v/>
      </c>
      <c r="AI273" t="str">
        <f t="shared" si="44"/>
        <v/>
      </c>
    </row>
    <row r="274" spans="1:35" x14ac:dyDescent="0.25">
      <c r="A274" s="9"/>
      <c r="B274" s="9"/>
      <c r="C274" s="9"/>
      <c r="D274" s="9"/>
      <c r="E274" s="9"/>
      <c r="F274" s="9"/>
      <c r="G274" s="9"/>
      <c r="H274" s="10"/>
      <c r="I274" s="10"/>
      <c r="J274" s="9"/>
      <c r="K274" s="11"/>
      <c r="L274" s="11"/>
      <c r="M274" s="12" t="str">
        <f t="shared" si="36"/>
        <v/>
      </c>
      <c r="N274" s="13"/>
      <c r="O274" s="13"/>
      <c r="P274" s="13"/>
      <c r="Q274" s="13"/>
      <c r="R274" s="13"/>
      <c r="S274" s="13"/>
      <c r="T274" s="13"/>
      <c r="U274" s="13"/>
      <c r="V274" s="13"/>
      <c r="W274" s="13"/>
      <c r="X274" s="13"/>
      <c r="Y274" s="13"/>
      <c r="Z274" s="9"/>
      <c r="AB274" t="str">
        <f t="shared" si="37"/>
        <v/>
      </c>
      <c r="AC274">
        <f t="shared" si="38"/>
        <v>0</v>
      </c>
      <c r="AD274">
        <f t="shared" si="39"/>
        <v>0</v>
      </c>
      <c r="AE274" t="str">
        <f t="shared" si="40"/>
        <v/>
      </c>
      <c r="AF274" t="str">
        <f t="shared" si="41"/>
        <v/>
      </c>
      <c r="AG274">
        <f t="shared" si="42"/>
        <v>0</v>
      </c>
      <c r="AH274" t="str">
        <f t="shared" si="43"/>
        <v/>
      </c>
      <c r="AI274" t="str">
        <f t="shared" si="44"/>
        <v/>
      </c>
    </row>
    <row r="275" spans="1:35" x14ac:dyDescent="0.25">
      <c r="A275" s="9"/>
      <c r="B275" s="9"/>
      <c r="C275" s="9"/>
      <c r="D275" s="9"/>
      <c r="E275" s="9"/>
      <c r="F275" s="9"/>
      <c r="G275" s="9"/>
      <c r="H275" s="10"/>
      <c r="I275" s="10"/>
      <c r="J275" s="9"/>
      <c r="K275" s="11"/>
      <c r="L275" s="11"/>
      <c r="M275" s="12" t="str">
        <f t="shared" si="36"/>
        <v/>
      </c>
      <c r="N275" s="13"/>
      <c r="O275" s="13"/>
      <c r="P275" s="13"/>
      <c r="Q275" s="13"/>
      <c r="R275" s="13"/>
      <c r="S275" s="13"/>
      <c r="T275" s="13"/>
      <c r="U275" s="13"/>
      <c r="V275" s="13"/>
      <c r="W275" s="13"/>
      <c r="X275" s="13"/>
      <c r="Y275" s="13"/>
      <c r="Z275" s="9"/>
      <c r="AB275" t="str">
        <f t="shared" si="37"/>
        <v/>
      </c>
      <c r="AC275">
        <f t="shared" si="38"/>
        <v>0</v>
      </c>
      <c r="AD275">
        <f t="shared" si="39"/>
        <v>0</v>
      </c>
      <c r="AE275" t="str">
        <f t="shared" si="40"/>
        <v/>
      </c>
      <c r="AF275" t="str">
        <f t="shared" si="41"/>
        <v/>
      </c>
      <c r="AG275">
        <f t="shared" si="42"/>
        <v>0</v>
      </c>
      <c r="AH275" t="str">
        <f t="shared" si="43"/>
        <v/>
      </c>
      <c r="AI275" t="str">
        <f t="shared" si="44"/>
        <v/>
      </c>
    </row>
    <row r="276" spans="1:35" x14ac:dyDescent="0.25">
      <c r="A276" s="9"/>
      <c r="B276" s="9"/>
      <c r="C276" s="9"/>
      <c r="D276" s="9"/>
      <c r="E276" s="9"/>
      <c r="F276" s="9"/>
      <c r="G276" s="9"/>
      <c r="H276" s="10"/>
      <c r="I276" s="10"/>
      <c r="J276" s="9"/>
      <c r="K276" s="11"/>
      <c r="L276" s="11"/>
      <c r="M276" s="12" t="str">
        <f t="shared" si="36"/>
        <v/>
      </c>
      <c r="N276" s="13"/>
      <c r="O276" s="13"/>
      <c r="P276" s="13"/>
      <c r="Q276" s="13"/>
      <c r="R276" s="13"/>
      <c r="S276" s="13"/>
      <c r="T276" s="13"/>
      <c r="U276" s="13"/>
      <c r="V276" s="13"/>
      <c r="W276" s="13"/>
      <c r="X276" s="13"/>
      <c r="Y276" s="13"/>
      <c r="Z276" s="9"/>
      <c r="AB276" t="str">
        <f t="shared" si="37"/>
        <v/>
      </c>
      <c r="AC276">
        <f t="shared" si="38"/>
        <v>0</v>
      </c>
      <c r="AD276">
        <f t="shared" si="39"/>
        <v>0</v>
      </c>
      <c r="AE276" t="str">
        <f t="shared" si="40"/>
        <v/>
      </c>
      <c r="AF276" t="str">
        <f t="shared" si="41"/>
        <v/>
      </c>
      <c r="AG276">
        <f t="shared" si="42"/>
        <v>0</v>
      </c>
      <c r="AH276" t="str">
        <f t="shared" si="43"/>
        <v/>
      </c>
      <c r="AI276" t="str">
        <f t="shared" si="44"/>
        <v/>
      </c>
    </row>
    <row r="277" spans="1:35" x14ac:dyDescent="0.25">
      <c r="A277" s="9"/>
      <c r="B277" s="9"/>
      <c r="C277" s="9"/>
      <c r="D277" s="9"/>
      <c r="E277" s="9"/>
      <c r="F277" s="9"/>
      <c r="G277" s="9"/>
      <c r="H277" s="10"/>
      <c r="I277" s="10"/>
      <c r="J277" s="9"/>
      <c r="K277" s="11"/>
      <c r="L277" s="11"/>
      <c r="M277" s="12" t="str">
        <f t="shared" si="36"/>
        <v/>
      </c>
      <c r="N277" s="13"/>
      <c r="O277" s="13"/>
      <c r="P277" s="13"/>
      <c r="Q277" s="13"/>
      <c r="R277" s="13"/>
      <c r="S277" s="13"/>
      <c r="T277" s="13"/>
      <c r="U277" s="13"/>
      <c r="V277" s="13"/>
      <c r="W277" s="13"/>
      <c r="X277" s="13"/>
      <c r="Y277" s="13"/>
      <c r="Z277" s="9"/>
      <c r="AB277" t="str">
        <f t="shared" si="37"/>
        <v/>
      </c>
      <c r="AC277">
        <f t="shared" si="38"/>
        <v>0</v>
      </c>
      <c r="AD277">
        <f t="shared" si="39"/>
        <v>0</v>
      </c>
      <c r="AE277" t="str">
        <f t="shared" si="40"/>
        <v/>
      </c>
      <c r="AF277" t="str">
        <f t="shared" si="41"/>
        <v/>
      </c>
      <c r="AG277">
        <f t="shared" si="42"/>
        <v>0</v>
      </c>
      <c r="AH277" t="str">
        <f t="shared" si="43"/>
        <v/>
      </c>
      <c r="AI277" t="str">
        <f t="shared" si="44"/>
        <v/>
      </c>
    </row>
    <row r="278" spans="1:35" x14ac:dyDescent="0.25">
      <c r="A278" s="9"/>
      <c r="B278" s="9"/>
      <c r="C278" s="9"/>
      <c r="D278" s="9"/>
      <c r="E278" s="9"/>
      <c r="F278" s="9"/>
      <c r="G278" s="9"/>
      <c r="H278" s="10"/>
      <c r="I278" s="10"/>
      <c r="J278" s="9"/>
      <c r="K278" s="11"/>
      <c r="L278" s="11"/>
      <c r="M278" s="12" t="str">
        <f t="shared" si="36"/>
        <v/>
      </c>
      <c r="N278" s="13"/>
      <c r="O278" s="13"/>
      <c r="P278" s="13"/>
      <c r="Q278" s="13"/>
      <c r="R278" s="13"/>
      <c r="S278" s="13"/>
      <c r="T278" s="13"/>
      <c r="U278" s="13"/>
      <c r="V278" s="13"/>
      <c r="W278" s="13"/>
      <c r="X278" s="13"/>
      <c r="Y278" s="13"/>
      <c r="Z278" s="9"/>
      <c r="AB278" t="str">
        <f t="shared" si="37"/>
        <v/>
      </c>
      <c r="AC278">
        <f t="shared" si="38"/>
        <v>0</v>
      </c>
      <c r="AD278">
        <f t="shared" si="39"/>
        <v>0</v>
      </c>
      <c r="AE278" t="str">
        <f t="shared" si="40"/>
        <v/>
      </c>
      <c r="AF278" t="str">
        <f t="shared" si="41"/>
        <v/>
      </c>
      <c r="AG278">
        <f t="shared" si="42"/>
        <v>0</v>
      </c>
      <c r="AH278" t="str">
        <f t="shared" si="43"/>
        <v/>
      </c>
      <c r="AI278" t="str">
        <f t="shared" si="44"/>
        <v/>
      </c>
    </row>
    <row r="279" spans="1:35" x14ac:dyDescent="0.25">
      <c r="A279" s="9"/>
      <c r="B279" s="9"/>
      <c r="C279" s="9"/>
      <c r="D279" s="9"/>
      <c r="E279" s="9"/>
      <c r="F279" s="9"/>
      <c r="G279" s="9"/>
      <c r="H279" s="10"/>
      <c r="I279" s="10"/>
      <c r="J279" s="9"/>
      <c r="K279" s="11"/>
      <c r="L279" s="11"/>
      <c r="M279" s="12" t="str">
        <f t="shared" si="36"/>
        <v/>
      </c>
      <c r="N279" s="13"/>
      <c r="O279" s="13"/>
      <c r="P279" s="13"/>
      <c r="Q279" s="13"/>
      <c r="R279" s="13"/>
      <c r="S279" s="13"/>
      <c r="T279" s="13"/>
      <c r="U279" s="13"/>
      <c r="V279" s="13"/>
      <c r="W279" s="13"/>
      <c r="X279" s="13"/>
      <c r="Y279" s="13"/>
      <c r="Z279" s="9"/>
      <c r="AB279" t="str">
        <f t="shared" si="37"/>
        <v/>
      </c>
      <c r="AC279">
        <f t="shared" si="38"/>
        <v>0</v>
      </c>
      <c r="AD279">
        <f t="shared" si="39"/>
        <v>0</v>
      </c>
      <c r="AE279" t="str">
        <f t="shared" si="40"/>
        <v/>
      </c>
      <c r="AF279" t="str">
        <f t="shared" si="41"/>
        <v/>
      </c>
      <c r="AG279">
        <f t="shared" si="42"/>
        <v>0</v>
      </c>
      <c r="AH279" t="str">
        <f t="shared" si="43"/>
        <v/>
      </c>
      <c r="AI279" t="str">
        <f t="shared" si="44"/>
        <v/>
      </c>
    </row>
    <row r="280" spans="1:35" x14ac:dyDescent="0.25">
      <c r="A280" s="9"/>
      <c r="B280" s="9"/>
      <c r="C280" s="9"/>
      <c r="D280" s="9"/>
      <c r="E280" s="9"/>
      <c r="F280" s="9"/>
      <c r="G280" s="9"/>
      <c r="H280" s="10"/>
      <c r="I280" s="10"/>
      <c r="J280" s="9"/>
      <c r="K280" s="11"/>
      <c r="L280" s="11"/>
      <c r="M280" s="12" t="str">
        <f t="shared" si="36"/>
        <v/>
      </c>
      <c r="N280" s="13"/>
      <c r="O280" s="13"/>
      <c r="P280" s="13"/>
      <c r="Q280" s="13"/>
      <c r="R280" s="13"/>
      <c r="S280" s="13"/>
      <c r="T280" s="13"/>
      <c r="U280" s="13"/>
      <c r="V280" s="13"/>
      <c r="W280" s="13"/>
      <c r="X280" s="13"/>
      <c r="Y280" s="13"/>
      <c r="Z280" s="9"/>
      <c r="AB280" t="str">
        <f t="shared" si="37"/>
        <v/>
      </c>
      <c r="AC280">
        <f t="shared" si="38"/>
        <v>0</v>
      </c>
      <c r="AD280">
        <f t="shared" si="39"/>
        <v>0</v>
      </c>
      <c r="AE280" t="str">
        <f t="shared" si="40"/>
        <v/>
      </c>
      <c r="AF280" t="str">
        <f t="shared" si="41"/>
        <v/>
      </c>
      <c r="AG280">
        <f t="shared" si="42"/>
        <v>0</v>
      </c>
      <c r="AH280" t="str">
        <f t="shared" si="43"/>
        <v/>
      </c>
      <c r="AI280" t="str">
        <f t="shared" si="44"/>
        <v/>
      </c>
    </row>
    <row r="281" spans="1:35" x14ac:dyDescent="0.25">
      <c r="A281" s="9"/>
      <c r="B281" s="9"/>
      <c r="C281" s="9"/>
      <c r="D281" s="9"/>
      <c r="E281" s="9"/>
      <c r="F281" s="9"/>
      <c r="G281" s="9"/>
      <c r="H281" s="10"/>
      <c r="I281" s="10"/>
      <c r="J281" s="9"/>
      <c r="K281" s="11"/>
      <c r="L281" s="11"/>
      <c r="M281" s="12" t="str">
        <f t="shared" si="36"/>
        <v/>
      </c>
      <c r="N281" s="13"/>
      <c r="O281" s="13"/>
      <c r="P281" s="13"/>
      <c r="Q281" s="13"/>
      <c r="R281" s="13"/>
      <c r="S281" s="13"/>
      <c r="T281" s="13"/>
      <c r="U281" s="13"/>
      <c r="V281" s="13"/>
      <c r="W281" s="13"/>
      <c r="X281" s="13"/>
      <c r="Y281" s="13"/>
      <c r="Z281" s="9"/>
      <c r="AB281" t="str">
        <f t="shared" si="37"/>
        <v/>
      </c>
      <c r="AC281">
        <f t="shared" si="38"/>
        <v>0</v>
      </c>
      <c r="AD281">
        <f t="shared" si="39"/>
        <v>0</v>
      </c>
      <c r="AE281" t="str">
        <f t="shared" si="40"/>
        <v/>
      </c>
      <c r="AF281" t="str">
        <f t="shared" si="41"/>
        <v/>
      </c>
      <c r="AG281">
        <f t="shared" si="42"/>
        <v>0</v>
      </c>
      <c r="AH281" t="str">
        <f t="shared" si="43"/>
        <v/>
      </c>
      <c r="AI281" t="str">
        <f t="shared" si="44"/>
        <v/>
      </c>
    </row>
    <row r="282" spans="1:35" x14ac:dyDescent="0.25">
      <c r="A282" s="9"/>
      <c r="B282" s="9"/>
      <c r="C282" s="9"/>
      <c r="D282" s="9"/>
      <c r="E282" s="9"/>
      <c r="F282" s="9"/>
      <c r="G282" s="9"/>
      <c r="H282" s="10"/>
      <c r="I282" s="10"/>
      <c r="J282" s="9"/>
      <c r="K282" s="11"/>
      <c r="L282" s="11"/>
      <c r="M282" s="12" t="str">
        <f t="shared" si="36"/>
        <v/>
      </c>
      <c r="N282" s="13"/>
      <c r="O282" s="13"/>
      <c r="P282" s="13"/>
      <c r="Q282" s="13"/>
      <c r="R282" s="13"/>
      <c r="S282" s="13"/>
      <c r="T282" s="13"/>
      <c r="U282" s="13"/>
      <c r="V282" s="13"/>
      <c r="W282" s="13"/>
      <c r="X282" s="13"/>
      <c r="Y282" s="13"/>
      <c r="Z282" s="9"/>
      <c r="AB282" t="str">
        <f t="shared" si="37"/>
        <v/>
      </c>
      <c r="AC282">
        <f t="shared" si="38"/>
        <v>0</v>
      </c>
      <c r="AD282">
        <f t="shared" si="39"/>
        <v>0</v>
      </c>
      <c r="AE282" t="str">
        <f t="shared" si="40"/>
        <v/>
      </c>
      <c r="AF282" t="str">
        <f t="shared" si="41"/>
        <v/>
      </c>
      <c r="AG282">
        <f t="shared" si="42"/>
        <v>0</v>
      </c>
      <c r="AH282" t="str">
        <f t="shared" si="43"/>
        <v/>
      </c>
      <c r="AI282" t="str">
        <f t="shared" si="44"/>
        <v/>
      </c>
    </row>
    <row r="283" spans="1:35" x14ac:dyDescent="0.25">
      <c r="A283" s="9"/>
      <c r="B283" s="9"/>
      <c r="C283" s="9"/>
      <c r="D283" s="9"/>
      <c r="E283" s="9"/>
      <c r="F283" s="9"/>
      <c r="G283" s="9"/>
      <c r="H283" s="10"/>
      <c r="I283" s="10"/>
      <c r="J283" s="9"/>
      <c r="K283" s="11"/>
      <c r="L283" s="11"/>
      <c r="M283" s="12" t="str">
        <f t="shared" si="36"/>
        <v/>
      </c>
      <c r="N283" s="13"/>
      <c r="O283" s="13"/>
      <c r="P283" s="13"/>
      <c r="Q283" s="13"/>
      <c r="R283" s="13"/>
      <c r="S283" s="13"/>
      <c r="T283" s="13"/>
      <c r="U283" s="13"/>
      <c r="V283" s="13"/>
      <c r="W283" s="13"/>
      <c r="X283" s="13"/>
      <c r="Y283" s="13"/>
      <c r="Z283" s="9"/>
      <c r="AB283" t="str">
        <f t="shared" si="37"/>
        <v/>
      </c>
      <c r="AC283">
        <f t="shared" si="38"/>
        <v>0</v>
      </c>
      <c r="AD283">
        <f t="shared" si="39"/>
        <v>0</v>
      </c>
      <c r="AE283" t="str">
        <f t="shared" si="40"/>
        <v/>
      </c>
      <c r="AF283" t="str">
        <f t="shared" si="41"/>
        <v/>
      </c>
      <c r="AG283">
        <f t="shared" si="42"/>
        <v>0</v>
      </c>
      <c r="AH283" t="str">
        <f t="shared" si="43"/>
        <v/>
      </c>
      <c r="AI283" t="str">
        <f t="shared" si="44"/>
        <v/>
      </c>
    </row>
    <row r="284" spans="1:35" x14ac:dyDescent="0.25">
      <c r="A284" s="9"/>
      <c r="B284" s="9"/>
      <c r="C284" s="9"/>
      <c r="D284" s="9"/>
      <c r="E284" s="9"/>
      <c r="F284" s="9"/>
      <c r="G284" s="9"/>
      <c r="H284" s="10"/>
      <c r="I284" s="10"/>
      <c r="J284" s="9"/>
      <c r="K284" s="11"/>
      <c r="L284" s="11"/>
      <c r="M284" s="12" t="str">
        <f t="shared" si="36"/>
        <v/>
      </c>
      <c r="N284" s="13"/>
      <c r="O284" s="13"/>
      <c r="P284" s="13"/>
      <c r="Q284" s="13"/>
      <c r="R284" s="13"/>
      <c r="S284" s="13"/>
      <c r="T284" s="13"/>
      <c r="U284" s="13"/>
      <c r="V284" s="13"/>
      <c r="W284" s="13"/>
      <c r="X284" s="13"/>
      <c r="Y284" s="13"/>
      <c r="Z284" s="9"/>
      <c r="AB284" t="str">
        <f t="shared" si="37"/>
        <v/>
      </c>
      <c r="AC284">
        <f t="shared" si="38"/>
        <v>0</v>
      </c>
      <c r="AD284">
        <f t="shared" si="39"/>
        <v>0</v>
      </c>
      <c r="AE284" t="str">
        <f t="shared" si="40"/>
        <v/>
      </c>
      <c r="AF284" t="str">
        <f t="shared" si="41"/>
        <v/>
      </c>
      <c r="AG284">
        <f t="shared" si="42"/>
        <v>0</v>
      </c>
      <c r="AH284" t="str">
        <f t="shared" si="43"/>
        <v/>
      </c>
      <c r="AI284" t="str">
        <f t="shared" si="44"/>
        <v/>
      </c>
    </row>
    <row r="285" spans="1:35" x14ac:dyDescent="0.25">
      <c r="A285" s="9"/>
      <c r="B285" s="9"/>
      <c r="C285" s="9"/>
      <c r="D285" s="9"/>
      <c r="E285" s="9"/>
      <c r="F285" s="9"/>
      <c r="G285" s="9"/>
      <c r="H285" s="10"/>
      <c r="I285" s="10"/>
      <c r="J285" s="9"/>
      <c r="K285" s="11"/>
      <c r="L285" s="11"/>
      <c r="M285" s="12" t="str">
        <f t="shared" si="36"/>
        <v/>
      </c>
      <c r="N285" s="13"/>
      <c r="O285" s="13"/>
      <c r="P285" s="13"/>
      <c r="Q285" s="13"/>
      <c r="R285" s="13"/>
      <c r="S285" s="13"/>
      <c r="T285" s="13"/>
      <c r="U285" s="13"/>
      <c r="V285" s="13"/>
      <c r="W285" s="13"/>
      <c r="X285" s="13"/>
      <c r="Y285" s="13"/>
      <c r="Z285" s="9"/>
      <c r="AB285" t="str">
        <f t="shared" si="37"/>
        <v/>
      </c>
      <c r="AC285">
        <f t="shared" si="38"/>
        <v>0</v>
      </c>
      <c r="AD285">
        <f t="shared" si="39"/>
        <v>0</v>
      </c>
      <c r="AE285" t="str">
        <f t="shared" si="40"/>
        <v/>
      </c>
      <c r="AF285" t="str">
        <f t="shared" si="41"/>
        <v/>
      </c>
      <c r="AG285">
        <f t="shared" si="42"/>
        <v>0</v>
      </c>
      <c r="AH285" t="str">
        <f t="shared" si="43"/>
        <v/>
      </c>
      <c r="AI285" t="str">
        <f t="shared" si="44"/>
        <v/>
      </c>
    </row>
    <row r="286" spans="1:35" x14ac:dyDescent="0.25">
      <c r="A286" s="9"/>
      <c r="B286" s="9"/>
      <c r="C286" s="9"/>
      <c r="D286" s="9"/>
      <c r="E286" s="9"/>
      <c r="F286" s="9"/>
      <c r="G286" s="9"/>
      <c r="H286" s="10"/>
      <c r="I286" s="10"/>
      <c r="J286" s="9"/>
      <c r="K286" s="11"/>
      <c r="L286" s="11"/>
      <c r="M286" s="12" t="str">
        <f t="shared" si="36"/>
        <v/>
      </c>
      <c r="N286" s="13"/>
      <c r="O286" s="13"/>
      <c r="P286" s="13"/>
      <c r="Q286" s="13"/>
      <c r="R286" s="13"/>
      <c r="S286" s="13"/>
      <c r="T286" s="13"/>
      <c r="U286" s="13"/>
      <c r="V286" s="13"/>
      <c r="W286" s="13"/>
      <c r="X286" s="13"/>
      <c r="Y286" s="13"/>
      <c r="Z286" s="9"/>
      <c r="AB286" t="str">
        <f t="shared" si="37"/>
        <v/>
      </c>
      <c r="AC286">
        <f t="shared" si="38"/>
        <v>0</v>
      </c>
      <c r="AD286">
        <f t="shared" si="39"/>
        <v>0</v>
      </c>
      <c r="AE286" t="str">
        <f t="shared" si="40"/>
        <v/>
      </c>
      <c r="AF286" t="str">
        <f t="shared" si="41"/>
        <v/>
      </c>
      <c r="AG286">
        <f t="shared" si="42"/>
        <v>0</v>
      </c>
      <c r="AH286" t="str">
        <f t="shared" si="43"/>
        <v/>
      </c>
      <c r="AI286" t="str">
        <f t="shared" si="44"/>
        <v/>
      </c>
    </row>
    <row r="287" spans="1:35" x14ac:dyDescent="0.25">
      <c r="A287" s="9"/>
      <c r="B287" s="9"/>
      <c r="C287" s="9"/>
      <c r="D287" s="9"/>
      <c r="E287" s="9"/>
      <c r="F287" s="9"/>
      <c r="G287" s="9"/>
      <c r="H287" s="10"/>
      <c r="I287" s="10"/>
      <c r="J287" s="9"/>
      <c r="K287" s="11"/>
      <c r="L287" s="11"/>
      <c r="M287" s="12" t="str">
        <f t="shared" si="36"/>
        <v/>
      </c>
      <c r="N287" s="13"/>
      <c r="O287" s="13"/>
      <c r="P287" s="13"/>
      <c r="Q287" s="13"/>
      <c r="R287" s="13"/>
      <c r="S287" s="13"/>
      <c r="T287" s="13"/>
      <c r="U287" s="13"/>
      <c r="V287" s="13"/>
      <c r="W287" s="13"/>
      <c r="X287" s="13"/>
      <c r="Y287" s="13"/>
      <c r="Z287" s="9"/>
      <c r="AB287" t="str">
        <f t="shared" si="37"/>
        <v/>
      </c>
      <c r="AC287">
        <f t="shared" si="38"/>
        <v>0</v>
      </c>
      <c r="AD287">
        <f t="shared" si="39"/>
        <v>0</v>
      </c>
      <c r="AE287" t="str">
        <f t="shared" si="40"/>
        <v/>
      </c>
      <c r="AF287" t="str">
        <f t="shared" si="41"/>
        <v/>
      </c>
      <c r="AG287">
        <f t="shared" si="42"/>
        <v>0</v>
      </c>
      <c r="AH287" t="str">
        <f t="shared" si="43"/>
        <v/>
      </c>
      <c r="AI287" t="str">
        <f t="shared" si="44"/>
        <v/>
      </c>
    </row>
    <row r="288" spans="1:35" x14ac:dyDescent="0.25">
      <c r="A288" s="9"/>
      <c r="B288" s="9"/>
      <c r="C288" s="9"/>
      <c r="D288" s="9"/>
      <c r="E288" s="9"/>
      <c r="F288" s="9"/>
      <c r="G288" s="9"/>
      <c r="H288" s="10"/>
      <c r="I288" s="10"/>
      <c r="J288" s="9"/>
      <c r="K288" s="11"/>
      <c r="L288" s="11"/>
      <c r="M288" s="12" t="str">
        <f t="shared" si="36"/>
        <v/>
      </c>
      <c r="N288" s="13"/>
      <c r="O288" s="13"/>
      <c r="P288" s="13"/>
      <c r="Q288" s="13"/>
      <c r="R288" s="13"/>
      <c r="S288" s="13"/>
      <c r="T288" s="13"/>
      <c r="U288" s="13"/>
      <c r="V288" s="13"/>
      <c r="W288" s="13"/>
      <c r="X288" s="13"/>
      <c r="Y288" s="13"/>
      <c r="Z288" s="9"/>
      <c r="AB288" t="str">
        <f t="shared" si="37"/>
        <v/>
      </c>
      <c r="AC288">
        <f t="shared" si="38"/>
        <v>0</v>
      </c>
      <c r="AD288">
        <f t="shared" si="39"/>
        <v>0</v>
      </c>
      <c r="AE288" t="str">
        <f t="shared" si="40"/>
        <v/>
      </c>
      <c r="AF288" t="str">
        <f t="shared" si="41"/>
        <v/>
      </c>
      <c r="AG288">
        <f t="shared" si="42"/>
        <v>0</v>
      </c>
      <c r="AH288" t="str">
        <f t="shared" si="43"/>
        <v/>
      </c>
      <c r="AI288" t="str">
        <f t="shared" si="44"/>
        <v/>
      </c>
    </row>
    <row r="289" spans="1:35" x14ac:dyDescent="0.25">
      <c r="A289" s="9"/>
      <c r="B289" s="9"/>
      <c r="C289" s="9"/>
      <c r="D289" s="9"/>
      <c r="E289" s="9"/>
      <c r="F289" s="9"/>
      <c r="G289" s="9"/>
      <c r="H289" s="10"/>
      <c r="I289" s="10"/>
      <c r="J289" s="9"/>
      <c r="K289" s="11"/>
      <c r="L289" s="11"/>
      <c r="M289" s="12" t="str">
        <f t="shared" si="36"/>
        <v/>
      </c>
      <c r="N289" s="13"/>
      <c r="O289" s="13"/>
      <c r="P289" s="13"/>
      <c r="Q289" s="13"/>
      <c r="R289" s="13"/>
      <c r="S289" s="13"/>
      <c r="T289" s="13"/>
      <c r="U289" s="13"/>
      <c r="V289" s="13"/>
      <c r="W289" s="13"/>
      <c r="X289" s="13"/>
      <c r="Y289" s="13"/>
      <c r="Z289" s="9"/>
      <c r="AB289" t="str">
        <f t="shared" si="37"/>
        <v/>
      </c>
      <c r="AC289">
        <f t="shared" si="38"/>
        <v>0</v>
      </c>
      <c r="AD289">
        <f t="shared" si="39"/>
        <v>0</v>
      </c>
      <c r="AE289" t="str">
        <f t="shared" si="40"/>
        <v/>
      </c>
      <c r="AF289" t="str">
        <f t="shared" si="41"/>
        <v/>
      </c>
      <c r="AG289">
        <f t="shared" si="42"/>
        <v>0</v>
      </c>
      <c r="AH289" t="str">
        <f t="shared" si="43"/>
        <v/>
      </c>
      <c r="AI289" t="str">
        <f t="shared" si="44"/>
        <v/>
      </c>
    </row>
    <row r="290" spans="1:35" x14ac:dyDescent="0.25">
      <c r="A290" s="9"/>
      <c r="B290" s="9"/>
      <c r="C290" s="9"/>
      <c r="D290" s="9"/>
      <c r="E290" s="9"/>
      <c r="F290" s="9"/>
      <c r="G290" s="9"/>
      <c r="H290" s="10"/>
      <c r="I290" s="10"/>
      <c r="J290" s="9"/>
      <c r="K290" s="11"/>
      <c r="L290" s="11"/>
      <c r="M290" s="12" t="str">
        <f t="shared" si="36"/>
        <v/>
      </c>
      <c r="N290" s="13"/>
      <c r="O290" s="13"/>
      <c r="P290" s="13"/>
      <c r="Q290" s="13"/>
      <c r="R290" s="13"/>
      <c r="S290" s="13"/>
      <c r="T290" s="13"/>
      <c r="U290" s="13"/>
      <c r="V290" s="13"/>
      <c r="W290" s="13"/>
      <c r="X290" s="13"/>
      <c r="Y290" s="13"/>
      <c r="Z290" s="9"/>
      <c r="AB290" t="str">
        <f t="shared" si="37"/>
        <v/>
      </c>
      <c r="AC290">
        <f t="shared" si="38"/>
        <v>0</v>
      </c>
      <c r="AD290">
        <f t="shared" si="39"/>
        <v>0</v>
      </c>
      <c r="AE290" t="str">
        <f t="shared" si="40"/>
        <v/>
      </c>
      <c r="AF290" t="str">
        <f t="shared" si="41"/>
        <v/>
      </c>
      <c r="AG290">
        <f t="shared" si="42"/>
        <v>0</v>
      </c>
      <c r="AH290" t="str">
        <f t="shared" si="43"/>
        <v/>
      </c>
      <c r="AI290" t="str">
        <f t="shared" si="44"/>
        <v/>
      </c>
    </row>
    <row r="291" spans="1:35" x14ac:dyDescent="0.25">
      <c r="A291" s="9"/>
      <c r="B291" s="9"/>
      <c r="C291" s="9"/>
      <c r="D291" s="9"/>
      <c r="E291" s="9"/>
      <c r="F291" s="9"/>
      <c r="G291" s="9"/>
      <c r="H291" s="10"/>
      <c r="I291" s="10"/>
      <c r="J291" s="9"/>
      <c r="K291" s="11"/>
      <c r="L291" s="11"/>
      <c r="M291" s="12" t="str">
        <f t="shared" si="36"/>
        <v/>
      </c>
      <c r="N291" s="13"/>
      <c r="O291" s="13"/>
      <c r="P291" s="13"/>
      <c r="Q291" s="13"/>
      <c r="R291" s="13"/>
      <c r="S291" s="13"/>
      <c r="T291" s="13"/>
      <c r="U291" s="13"/>
      <c r="V291" s="13"/>
      <c r="W291" s="13"/>
      <c r="X291" s="13"/>
      <c r="Y291" s="13"/>
      <c r="Z291" s="9"/>
      <c r="AB291" t="str">
        <f t="shared" si="37"/>
        <v/>
      </c>
      <c r="AC291">
        <f t="shared" si="38"/>
        <v>0</v>
      </c>
      <c r="AD291">
        <f t="shared" si="39"/>
        <v>0</v>
      </c>
      <c r="AE291" t="str">
        <f t="shared" si="40"/>
        <v/>
      </c>
      <c r="AF291" t="str">
        <f t="shared" si="41"/>
        <v/>
      </c>
      <c r="AG291">
        <f t="shared" si="42"/>
        <v>0</v>
      </c>
      <c r="AH291" t="str">
        <f t="shared" si="43"/>
        <v/>
      </c>
      <c r="AI291" t="str">
        <f t="shared" si="44"/>
        <v/>
      </c>
    </row>
    <row r="292" spans="1:35" x14ac:dyDescent="0.25">
      <c r="A292" s="9"/>
      <c r="B292" s="9"/>
      <c r="C292" s="9"/>
      <c r="D292" s="9"/>
      <c r="E292" s="9"/>
      <c r="F292" s="9"/>
      <c r="G292" s="9"/>
      <c r="H292" s="10"/>
      <c r="I292" s="10"/>
      <c r="J292" s="9"/>
      <c r="K292" s="11"/>
      <c r="L292" s="11"/>
      <c r="M292" s="12" t="str">
        <f t="shared" si="36"/>
        <v/>
      </c>
      <c r="N292" s="13"/>
      <c r="O292" s="13"/>
      <c r="P292" s="13"/>
      <c r="Q292" s="13"/>
      <c r="R292" s="13"/>
      <c r="S292" s="13"/>
      <c r="T292" s="13"/>
      <c r="U292" s="13"/>
      <c r="V292" s="13"/>
      <c r="W292" s="13"/>
      <c r="X292" s="13"/>
      <c r="Y292" s="13"/>
      <c r="Z292" s="9"/>
      <c r="AB292" t="str">
        <f t="shared" si="37"/>
        <v/>
      </c>
      <c r="AC292">
        <f t="shared" si="38"/>
        <v>0</v>
      </c>
      <c r="AD292">
        <f t="shared" si="39"/>
        <v>0</v>
      </c>
      <c r="AE292" t="str">
        <f t="shared" si="40"/>
        <v/>
      </c>
      <c r="AF292" t="str">
        <f t="shared" si="41"/>
        <v/>
      </c>
      <c r="AG292">
        <f t="shared" si="42"/>
        <v>0</v>
      </c>
      <c r="AH292" t="str">
        <f t="shared" si="43"/>
        <v/>
      </c>
      <c r="AI292" t="str">
        <f t="shared" si="44"/>
        <v/>
      </c>
    </row>
    <row r="293" spans="1:35" x14ac:dyDescent="0.25">
      <c r="A293" s="9"/>
      <c r="B293" s="9"/>
      <c r="C293" s="9"/>
      <c r="D293" s="9"/>
      <c r="E293" s="9"/>
      <c r="F293" s="9"/>
      <c r="G293" s="9"/>
      <c r="H293" s="10"/>
      <c r="I293" s="10"/>
      <c r="J293" s="9"/>
      <c r="K293" s="11"/>
      <c r="L293" s="11"/>
      <c r="M293" s="12" t="str">
        <f t="shared" si="36"/>
        <v/>
      </c>
      <c r="N293" s="13"/>
      <c r="O293" s="13"/>
      <c r="P293" s="13"/>
      <c r="Q293" s="13"/>
      <c r="R293" s="13"/>
      <c r="S293" s="13"/>
      <c r="T293" s="13"/>
      <c r="U293" s="13"/>
      <c r="V293" s="13"/>
      <c r="W293" s="13"/>
      <c r="X293" s="13"/>
      <c r="Y293" s="13"/>
      <c r="Z293" s="9"/>
      <c r="AB293" t="str">
        <f t="shared" si="37"/>
        <v/>
      </c>
      <c r="AC293">
        <f t="shared" si="38"/>
        <v>0</v>
      </c>
      <c r="AD293">
        <f t="shared" si="39"/>
        <v>0</v>
      </c>
      <c r="AE293" t="str">
        <f t="shared" si="40"/>
        <v/>
      </c>
      <c r="AF293" t="str">
        <f t="shared" si="41"/>
        <v/>
      </c>
      <c r="AG293">
        <f t="shared" si="42"/>
        <v>0</v>
      </c>
      <c r="AH293" t="str">
        <f t="shared" si="43"/>
        <v/>
      </c>
      <c r="AI293" t="str">
        <f t="shared" si="44"/>
        <v/>
      </c>
    </row>
    <row r="294" spans="1:35" x14ac:dyDescent="0.25">
      <c r="A294" s="9"/>
      <c r="B294" s="9"/>
      <c r="C294" s="9"/>
      <c r="D294" s="9"/>
      <c r="E294" s="9"/>
      <c r="F294" s="9"/>
      <c r="G294" s="9"/>
      <c r="H294" s="10"/>
      <c r="I294" s="10"/>
      <c r="J294" s="9"/>
      <c r="K294" s="11"/>
      <c r="L294" s="11"/>
      <c r="M294" s="12" t="str">
        <f t="shared" si="36"/>
        <v/>
      </c>
      <c r="N294" s="13"/>
      <c r="O294" s="13"/>
      <c r="P294" s="13"/>
      <c r="Q294" s="13"/>
      <c r="R294" s="13"/>
      <c r="S294" s="13"/>
      <c r="T294" s="13"/>
      <c r="U294" s="13"/>
      <c r="V294" s="13"/>
      <c r="W294" s="13"/>
      <c r="X294" s="13"/>
      <c r="Y294" s="13"/>
      <c r="Z294" s="9"/>
      <c r="AB294" t="str">
        <f t="shared" si="37"/>
        <v/>
      </c>
      <c r="AC294">
        <f t="shared" si="38"/>
        <v>0</v>
      </c>
      <c r="AD294">
        <f t="shared" si="39"/>
        <v>0</v>
      </c>
      <c r="AE294" t="str">
        <f t="shared" si="40"/>
        <v/>
      </c>
      <c r="AF294" t="str">
        <f t="shared" si="41"/>
        <v/>
      </c>
      <c r="AG294">
        <f t="shared" si="42"/>
        <v>0</v>
      </c>
      <c r="AH294" t="str">
        <f t="shared" si="43"/>
        <v/>
      </c>
      <c r="AI294" t="str">
        <f t="shared" si="44"/>
        <v/>
      </c>
    </row>
    <row r="295" spans="1:35" x14ac:dyDescent="0.25">
      <c r="A295" s="9"/>
      <c r="B295" s="9"/>
      <c r="C295" s="9"/>
      <c r="D295" s="9"/>
      <c r="E295" s="9"/>
      <c r="F295" s="9"/>
      <c r="G295" s="9"/>
      <c r="H295" s="10"/>
      <c r="I295" s="10"/>
      <c r="J295" s="9"/>
      <c r="K295" s="11"/>
      <c r="L295" s="11"/>
      <c r="M295" s="12" t="str">
        <f t="shared" si="36"/>
        <v/>
      </c>
      <c r="N295" s="13"/>
      <c r="O295" s="13"/>
      <c r="P295" s="13"/>
      <c r="Q295" s="13"/>
      <c r="R295" s="13"/>
      <c r="S295" s="13"/>
      <c r="T295" s="13"/>
      <c r="U295" s="13"/>
      <c r="V295" s="13"/>
      <c r="W295" s="13"/>
      <c r="X295" s="13"/>
      <c r="Y295" s="13"/>
      <c r="Z295" s="9"/>
      <c r="AB295" t="str">
        <f t="shared" si="37"/>
        <v/>
      </c>
      <c r="AC295">
        <f t="shared" si="38"/>
        <v>0</v>
      </c>
      <c r="AD295">
        <f t="shared" si="39"/>
        <v>0</v>
      </c>
      <c r="AE295" t="str">
        <f t="shared" si="40"/>
        <v/>
      </c>
      <c r="AF295" t="str">
        <f t="shared" si="41"/>
        <v/>
      </c>
      <c r="AG295">
        <f t="shared" si="42"/>
        <v>0</v>
      </c>
      <c r="AH295" t="str">
        <f t="shared" si="43"/>
        <v/>
      </c>
      <c r="AI295" t="str">
        <f t="shared" si="44"/>
        <v/>
      </c>
    </row>
    <row r="296" spans="1:35" x14ac:dyDescent="0.25">
      <c r="A296" s="9"/>
      <c r="B296" s="9"/>
      <c r="C296" s="9"/>
      <c r="D296" s="9"/>
      <c r="E296" s="9"/>
      <c r="F296" s="9"/>
      <c r="G296" s="9"/>
      <c r="H296" s="10"/>
      <c r="I296" s="10"/>
      <c r="J296" s="9"/>
      <c r="K296" s="11"/>
      <c r="L296" s="11"/>
      <c r="M296" s="12" t="str">
        <f t="shared" si="36"/>
        <v/>
      </c>
      <c r="N296" s="13"/>
      <c r="O296" s="13"/>
      <c r="P296" s="13"/>
      <c r="Q296" s="13"/>
      <c r="R296" s="13"/>
      <c r="S296" s="13"/>
      <c r="T296" s="13"/>
      <c r="U296" s="13"/>
      <c r="V296" s="13"/>
      <c r="W296" s="13"/>
      <c r="X296" s="13"/>
      <c r="Y296" s="13"/>
      <c r="Z296" s="9"/>
      <c r="AB296" t="str">
        <f t="shared" si="37"/>
        <v/>
      </c>
      <c r="AC296">
        <f t="shared" si="38"/>
        <v>0</v>
      </c>
      <c r="AD296">
        <f t="shared" si="39"/>
        <v>0</v>
      </c>
      <c r="AE296" t="str">
        <f t="shared" si="40"/>
        <v/>
      </c>
      <c r="AF296" t="str">
        <f t="shared" si="41"/>
        <v/>
      </c>
      <c r="AG296">
        <f t="shared" si="42"/>
        <v>0</v>
      </c>
      <c r="AH296" t="str">
        <f t="shared" si="43"/>
        <v/>
      </c>
      <c r="AI296" t="str">
        <f t="shared" si="44"/>
        <v/>
      </c>
    </row>
    <row r="297" spans="1:35" x14ac:dyDescent="0.25">
      <c r="A297" s="9"/>
      <c r="B297" s="9"/>
      <c r="C297" s="9"/>
      <c r="D297" s="9"/>
      <c r="E297" s="9"/>
      <c r="F297" s="9"/>
      <c r="G297" s="9"/>
      <c r="H297" s="10"/>
      <c r="I297" s="10"/>
      <c r="J297" s="9"/>
      <c r="K297" s="11"/>
      <c r="L297" s="11"/>
      <c r="M297" s="12" t="str">
        <f t="shared" si="36"/>
        <v/>
      </c>
      <c r="N297" s="13"/>
      <c r="O297" s="13"/>
      <c r="P297" s="13"/>
      <c r="Q297" s="13"/>
      <c r="R297" s="13"/>
      <c r="S297" s="13"/>
      <c r="T297" s="13"/>
      <c r="U297" s="13"/>
      <c r="V297" s="13"/>
      <c r="W297" s="13"/>
      <c r="X297" s="13"/>
      <c r="Y297" s="13"/>
      <c r="Z297" s="9"/>
      <c r="AB297" t="str">
        <f t="shared" si="37"/>
        <v/>
      </c>
      <c r="AC297">
        <f t="shared" si="38"/>
        <v>0</v>
      </c>
      <c r="AD297">
        <f t="shared" si="39"/>
        <v>0</v>
      </c>
      <c r="AE297" t="str">
        <f t="shared" si="40"/>
        <v/>
      </c>
      <c r="AF297" t="str">
        <f t="shared" si="41"/>
        <v/>
      </c>
      <c r="AG297">
        <f t="shared" si="42"/>
        <v>0</v>
      </c>
      <c r="AH297" t="str">
        <f t="shared" si="43"/>
        <v/>
      </c>
      <c r="AI297" t="str">
        <f t="shared" si="44"/>
        <v/>
      </c>
    </row>
    <row r="298" spans="1:35" x14ac:dyDescent="0.25">
      <c r="A298" s="9"/>
      <c r="B298" s="9"/>
      <c r="C298" s="9"/>
      <c r="D298" s="9"/>
      <c r="E298" s="9"/>
      <c r="F298" s="9"/>
      <c r="G298" s="9"/>
      <c r="H298" s="10"/>
      <c r="I298" s="10"/>
      <c r="J298" s="9"/>
      <c r="K298" s="11"/>
      <c r="L298" s="11"/>
      <c r="M298" s="12" t="str">
        <f t="shared" si="36"/>
        <v/>
      </c>
      <c r="N298" s="13"/>
      <c r="O298" s="13"/>
      <c r="P298" s="13"/>
      <c r="Q298" s="13"/>
      <c r="R298" s="13"/>
      <c r="S298" s="13"/>
      <c r="T298" s="13"/>
      <c r="U298" s="13"/>
      <c r="V298" s="13"/>
      <c r="W298" s="13"/>
      <c r="X298" s="13"/>
      <c r="Y298" s="13"/>
      <c r="Z298" s="9"/>
      <c r="AB298" t="str">
        <f t="shared" si="37"/>
        <v/>
      </c>
      <c r="AC298">
        <f t="shared" si="38"/>
        <v>0</v>
      </c>
      <c r="AD298">
        <f t="shared" si="39"/>
        <v>0</v>
      </c>
      <c r="AE298" t="str">
        <f t="shared" si="40"/>
        <v/>
      </c>
      <c r="AF298" t="str">
        <f t="shared" si="41"/>
        <v/>
      </c>
      <c r="AG298">
        <f t="shared" si="42"/>
        <v>0</v>
      </c>
      <c r="AH298" t="str">
        <f t="shared" si="43"/>
        <v/>
      </c>
      <c r="AI298" t="str">
        <f t="shared" si="44"/>
        <v/>
      </c>
    </row>
    <row r="299" spans="1:35" x14ac:dyDescent="0.25">
      <c r="A299" s="9"/>
      <c r="B299" s="9"/>
      <c r="C299" s="9"/>
      <c r="D299" s="9"/>
      <c r="E299" s="9"/>
      <c r="F299" s="9"/>
      <c r="G299" s="9"/>
      <c r="H299" s="10"/>
      <c r="I299" s="10"/>
      <c r="J299" s="9"/>
      <c r="K299" s="11"/>
      <c r="L299" s="11"/>
      <c r="M299" s="12" t="str">
        <f t="shared" si="36"/>
        <v/>
      </c>
      <c r="N299" s="13"/>
      <c r="O299" s="13"/>
      <c r="P299" s="13"/>
      <c r="Q299" s="13"/>
      <c r="R299" s="13"/>
      <c r="S299" s="13"/>
      <c r="T299" s="13"/>
      <c r="U299" s="13"/>
      <c r="V299" s="13"/>
      <c r="W299" s="13"/>
      <c r="X299" s="13"/>
      <c r="Y299" s="13"/>
      <c r="Z299" s="9"/>
      <c r="AB299" t="str">
        <f t="shared" si="37"/>
        <v/>
      </c>
      <c r="AC299">
        <f t="shared" si="38"/>
        <v>0</v>
      </c>
      <c r="AD299">
        <f t="shared" si="39"/>
        <v>0</v>
      </c>
      <c r="AE299" t="str">
        <f t="shared" si="40"/>
        <v/>
      </c>
      <c r="AF299" t="str">
        <f t="shared" si="41"/>
        <v/>
      </c>
      <c r="AG299">
        <f t="shared" si="42"/>
        <v>0</v>
      </c>
      <c r="AH299" t="str">
        <f t="shared" si="43"/>
        <v/>
      </c>
      <c r="AI299" t="str">
        <f t="shared" si="44"/>
        <v/>
      </c>
    </row>
    <row r="300" spans="1:35" x14ac:dyDescent="0.25">
      <c r="A300" s="9"/>
      <c r="B300" s="9"/>
      <c r="C300" s="9"/>
      <c r="D300" s="9"/>
      <c r="E300" s="9"/>
      <c r="F300" s="9"/>
      <c r="G300" s="9"/>
      <c r="H300" s="10"/>
      <c r="I300" s="10"/>
      <c r="J300" s="9"/>
      <c r="K300" s="11"/>
      <c r="L300" s="11"/>
      <c r="M300" s="12" t="str">
        <f t="shared" si="36"/>
        <v/>
      </c>
      <c r="N300" s="13"/>
      <c r="O300" s="13"/>
      <c r="P300" s="13"/>
      <c r="Q300" s="13"/>
      <c r="R300" s="13"/>
      <c r="S300" s="13"/>
      <c r="T300" s="13"/>
      <c r="U300" s="13"/>
      <c r="V300" s="13"/>
      <c r="W300" s="13"/>
      <c r="X300" s="13"/>
      <c r="Y300" s="13"/>
      <c r="Z300" s="9"/>
      <c r="AB300" t="str">
        <f t="shared" si="37"/>
        <v/>
      </c>
      <c r="AC300">
        <f t="shared" si="38"/>
        <v>0</v>
      </c>
      <c r="AD300">
        <f t="shared" si="39"/>
        <v>0</v>
      </c>
      <c r="AE300" t="str">
        <f t="shared" si="40"/>
        <v/>
      </c>
      <c r="AF300" t="str">
        <f t="shared" si="41"/>
        <v/>
      </c>
      <c r="AG300">
        <f t="shared" si="42"/>
        <v>0</v>
      </c>
      <c r="AH300" t="str">
        <f t="shared" si="43"/>
        <v/>
      </c>
      <c r="AI300" t="str">
        <f t="shared" si="44"/>
        <v/>
      </c>
    </row>
    <row r="301" spans="1:35" x14ac:dyDescent="0.25">
      <c r="A301" s="9"/>
      <c r="B301" s="9"/>
      <c r="C301" s="9"/>
      <c r="D301" s="9"/>
      <c r="E301" s="9"/>
      <c r="F301" s="9"/>
      <c r="G301" s="9"/>
      <c r="H301" s="10"/>
      <c r="I301" s="10"/>
      <c r="J301" s="9"/>
      <c r="K301" s="11"/>
      <c r="L301" s="11"/>
      <c r="M301" s="12" t="str">
        <f t="shared" si="36"/>
        <v/>
      </c>
      <c r="N301" s="13"/>
      <c r="O301" s="13"/>
      <c r="P301" s="13"/>
      <c r="Q301" s="13"/>
      <c r="R301" s="13"/>
      <c r="S301" s="13"/>
      <c r="T301" s="13"/>
      <c r="U301" s="13"/>
      <c r="V301" s="13"/>
      <c r="W301" s="13"/>
      <c r="X301" s="13"/>
      <c r="Y301" s="13"/>
      <c r="Z301" s="9"/>
      <c r="AB301" t="str">
        <f t="shared" si="37"/>
        <v/>
      </c>
      <c r="AC301">
        <f t="shared" si="38"/>
        <v>0</v>
      </c>
      <c r="AD301">
        <f t="shared" si="39"/>
        <v>0</v>
      </c>
      <c r="AE301" t="str">
        <f t="shared" si="40"/>
        <v/>
      </c>
      <c r="AF301" t="str">
        <f t="shared" si="41"/>
        <v/>
      </c>
      <c r="AG301">
        <f t="shared" si="42"/>
        <v>0</v>
      </c>
      <c r="AH301" t="str">
        <f t="shared" si="43"/>
        <v/>
      </c>
      <c r="AI301" t="str">
        <f t="shared" si="44"/>
        <v/>
      </c>
    </row>
    <row r="302" spans="1:35" x14ac:dyDescent="0.25">
      <c r="A302" s="9"/>
      <c r="B302" s="9"/>
      <c r="C302" s="9"/>
      <c r="D302" s="9"/>
      <c r="E302" s="9"/>
      <c r="F302" s="9"/>
      <c r="G302" s="9"/>
      <c r="H302" s="10"/>
      <c r="I302" s="10"/>
      <c r="J302" s="9"/>
      <c r="K302" s="11"/>
      <c r="L302" s="11"/>
      <c r="M302" s="12" t="str">
        <f t="shared" si="36"/>
        <v/>
      </c>
      <c r="N302" s="13"/>
      <c r="O302" s="13"/>
      <c r="P302" s="13"/>
      <c r="Q302" s="13"/>
      <c r="R302" s="13"/>
      <c r="S302" s="13"/>
      <c r="T302" s="13"/>
      <c r="U302" s="13"/>
      <c r="V302" s="13"/>
      <c r="W302" s="13"/>
      <c r="X302" s="13"/>
      <c r="Y302" s="13"/>
      <c r="Z302" s="9"/>
      <c r="AB302" t="str">
        <f t="shared" si="37"/>
        <v/>
      </c>
      <c r="AC302">
        <f t="shared" si="38"/>
        <v>0</v>
      </c>
      <c r="AD302">
        <f t="shared" si="39"/>
        <v>0</v>
      </c>
      <c r="AE302" t="str">
        <f t="shared" si="40"/>
        <v/>
      </c>
      <c r="AF302" t="str">
        <f t="shared" si="41"/>
        <v/>
      </c>
      <c r="AG302">
        <f t="shared" si="42"/>
        <v>0</v>
      </c>
      <c r="AH302" t="str">
        <f t="shared" si="43"/>
        <v/>
      </c>
      <c r="AI302" t="str">
        <f t="shared" si="44"/>
        <v/>
      </c>
    </row>
    <row r="303" spans="1:35" x14ac:dyDescent="0.25">
      <c r="A303" s="9"/>
      <c r="B303" s="9"/>
      <c r="C303" s="9"/>
      <c r="D303" s="9"/>
      <c r="E303" s="9"/>
      <c r="F303" s="9"/>
      <c r="G303" s="9"/>
      <c r="H303" s="10"/>
      <c r="I303" s="10"/>
      <c r="J303" s="9"/>
      <c r="K303" s="11"/>
      <c r="L303" s="11"/>
      <c r="M303" s="12" t="str">
        <f t="shared" si="36"/>
        <v/>
      </c>
      <c r="N303" s="13"/>
      <c r="O303" s="13"/>
      <c r="P303" s="13"/>
      <c r="Q303" s="13"/>
      <c r="R303" s="13"/>
      <c r="S303" s="13"/>
      <c r="T303" s="13"/>
      <c r="U303" s="13"/>
      <c r="V303" s="13"/>
      <c r="W303" s="13"/>
      <c r="X303" s="13"/>
      <c r="Y303" s="13"/>
      <c r="Z303" s="9"/>
      <c r="AB303" t="str">
        <f t="shared" si="37"/>
        <v/>
      </c>
      <c r="AC303">
        <f t="shared" si="38"/>
        <v>0</v>
      </c>
      <c r="AD303">
        <f t="shared" si="39"/>
        <v>0</v>
      </c>
      <c r="AE303" t="str">
        <f t="shared" si="40"/>
        <v/>
      </c>
      <c r="AF303" t="str">
        <f t="shared" si="41"/>
        <v/>
      </c>
      <c r="AG303">
        <f t="shared" si="42"/>
        <v>0</v>
      </c>
      <c r="AH303" t="str">
        <f t="shared" si="43"/>
        <v/>
      </c>
      <c r="AI303" t="str">
        <f t="shared" si="44"/>
        <v/>
      </c>
    </row>
    <row r="304" spans="1:35" x14ac:dyDescent="0.25">
      <c r="A304" s="9"/>
      <c r="B304" s="9"/>
      <c r="C304" s="9"/>
      <c r="D304" s="9"/>
      <c r="E304" s="9"/>
      <c r="F304" s="9"/>
      <c r="G304" s="9"/>
      <c r="H304" s="10"/>
      <c r="I304" s="10"/>
      <c r="J304" s="9"/>
      <c r="K304" s="11"/>
      <c r="L304" s="11"/>
      <c r="M304" s="12" t="str">
        <f t="shared" si="36"/>
        <v/>
      </c>
      <c r="N304" s="13"/>
      <c r="O304" s="13"/>
      <c r="P304" s="13"/>
      <c r="Q304" s="13"/>
      <c r="R304" s="13"/>
      <c r="S304" s="13"/>
      <c r="T304" s="13"/>
      <c r="U304" s="13"/>
      <c r="V304" s="13"/>
      <c r="W304" s="13"/>
      <c r="X304" s="13"/>
      <c r="Y304" s="13"/>
      <c r="Z304" s="9"/>
      <c r="AB304" t="str">
        <f t="shared" si="37"/>
        <v/>
      </c>
      <c r="AC304">
        <f t="shared" si="38"/>
        <v>0</v>
      </c>
      <c r="AD304">
        <f t="shared" si="39"/>
        <v>0</v>
      </c>
      <c r="AE304" t="str">
        <f t="shared" si="40"/>
        <v/>
      </c>
      <c r="AF304" t="str">
        <f t="shared" si="41"/>
        <v/>
      </c>
      <c r="AG304">
        <f t="shared" si="42"/>
        <v>0</v>
      </c>
      <c r="AH304" t="str">
        <f t="shared" si="43"/>
        <v/>
      </c>
      <c r="AI304" t="str">
        <f t="shared" si="44"/>
        <v/>
      </c>
    </row>
    <row r="305" spans="1:35" x14ac:dyDescent="0.25">
      <c r="A305" s="9"/>
      <c r="B305" s="9"/>
      <c r="C305" s="9"/>
      <c r="D305" s="9"/>
      <c r="E305" s="9"/>
      <c r="F305" s="9"/>
      <c r="G305" s="9"/>
      <c r="H305" s="10"/>
      <c r="I305" s="10"/>
      <c r="J305" s="9"/>
      <c r="K305" s="11"/>
      <c r="L305" s="11"/>
      <c r="M305" s="12" t="str">
        <f t="shared" si="36"/>
        <v/>
      </c>
      <c r="N305" s="13"/>
      <c r="O305" s="13"/>
      <c r="P305" s="13"/>
      <c r="Q305" s="13"/>
      <c r="R305" s="13"/>
      <c r="S305" s="13"/>
      <c r="T305" s="13"/>
      <c r="U305" s="13"/>
      <c r="V305" s="13"/>
      <c r="W305" s="13"/>
      <c r="X305" s="13"/>
      <c r="Y305" s="13"/>
      <c r="Z305" s="9"/>
      <c r="AB305" t="str">
        <f t="shared" si="37"/>
        <v/>
      </c>
      <c r="AC305">
        <f t="shared" si="38"/>
        <v>0</v>
      </c>
      <c r="AD305">
        <f t="shared" si="39"/>
        <v>0</v>
      </c>
      <c r="AE305" t="str">
        <f t="shared" si="40"/>
        <v/>
      </c>
      <c r="AF305" t="str">
        <f t="shared" si="41"/>
        <v/>
      </c>
      <c r="AG305">
        <f t="shared" si="42"/>
        <v>0</v>
      </c>
      <c r="AH305" t="str">
        <f t="shared" si="43"/>
        <v/>
      </c>
      <c r="AI305" t="str">
        <f t="shared" si="44"/>
        <v/>
      </c>
    </row>
    <row r="306" spans="1:35" x14ac:dyDescent="0.25">
      <c r="A306" s="9"/>
      <c r="B306" s="9"/>
      <c r="C306" s="9"/>
      <c r="D306" s="9"/>
      <c r="E306" s="9"/>
      <c r="F306" s="9"/>
      <c r="G306" s="9"/>
      <c r="H306" s="10"/>
      <c r="I306" s="10"/>
      <c r="J306" s="9"/>
      <c r="K306" s="11"/>
      <c r="L306" s="11"/>
      <c r="M306" s="12" t="str">
        <f t="shared" si="36"/>
        <v/>
      </c>
      <c r="N306" s="13"/>
      <c r="O306" s="13"/>
      <c r="P306" s="13"/>
      <c r="Q306" s="13"/>
      <c r="R306" s="13"/>
      <c r="S306" s="13"/>
      <c r="T306" s="13"/>
      <c r="U306" s="13"/>
      <c r="V306" s="13"/>
      <c r="W306" s="13"/>
      <c r="X306" s="13"/>
      <c r="Y306" s="13"/>
      <c r="Z306" s="9"/>
      <c r="AB306" t="str">
        <f t="shared" si="37"/>
        <v/>
      </c>
      <c r="AC306">
        <f t="shared" si="38"/>
        <v>0</v>
      </c>
      <c r="AD306">
        <f t="shared" si="39"/>
        <v>0</v>
      </c>
      <c r="AE306" t="str">
        <f t="shared" si="40"/>
        <v/>
      </c>
      <c r="AF306" t="str">
        <f t="shared" si="41"/>
        <v/>
      </c>
      <c r="AG306">
        <f t="shared" si="42"/>
        <v>0</v>
      </c>
      <c r="AH306" t="str">
        <f t="shared" si="43"/>
        <v/>
      </c>
      <c r="AI306" t="str">
        <f t="shared" si="44"/>
        <v/>
      </c>
    </row>
    <row r="307" spans="1:35" x14ac:dyDescent="0.25">
      <c r="A307" s="9"/>
      <c r="B307" s="9"/>
      <c r="C307" s="9"/>
      <c r="D307" s="9"/>
      <c r="E307" s="9"/>
      <c r="F307" s="9"/>
      <c r="G307" s="9"/>
      <c r="H307" s="10"/>
      <c r="I307" s="10"/>
      <c r="J307" s="9"/>
      <c r="K307" s="11"/>
      <c r="L307" s="11"/>
      <c r="M307" s="12" t="str">
        <f t="shared" si="36"/>
        <v/>
      </c>
      <c r="N307" s="13"/>
      <c r="O307" s="13"/>
      <c r="P307" s="13"/>
      <c r="Q307" s="13"/>
      <c r="R307" s="13"/>
      <c r="S307" s="13"/>
      <c r="T307" s="13"/>
      <c r="U307" s="13"/>
      <c r="V307" s="13"/>
      <c r="W307" s="13"/>
      <c r="X307" s="13"/>
      <c r="Y307" s="13"/>
      <c r="Z307" s="9"/>
      <c r="AB307" t="str">
        <f t="shared" si="37"/>
        <v/>
      </c>
      <c r="AC307">
        <f t="shared" si="38"/>
        <v>0</v>
      </c>
      <c r="AD307">
        <f t="shared" si="39"/>
        <v>0</v>
      </c>
      <c r="AE307" t="str">
        <f t="shared" si="40"/>
        <v/>
      </c>
      <c r="AF307" t="str">
        <f t="shared" si="41"/>
        <v/>
      </c>
      <c r="AG307">
        <f t="shared" si="42"/>
        <v>0</v>
      </c>
      <c r="AH307" t="str">
        <f t="shared" si="43"/>
        <v/>
      </c>
      <c r="AI307" t="str">
        <f t="shared" si="44"/>
        <v/>
      </c>
    </row>
    <row r="308" spans="1:35" x14ac:dyDescent="0.25">
      <c r="A308" s="9"/>
      <c r="B308" s="9"/>
      <c r="C308" s="9"/>
      <c r="D308" s="9"/>
      <c r="E308" s="9"/>
      <c r="F308" s="9"/>
      <c r="G308" s="9"/>
      <c r="H308" s="10"/>
      <c r="I308" s="10"/>
      <c r="J308" s="9"/>
      <c r="K308" s="11"/>
      <c r="L308" s="11"/>
      <c r="M308" s="12" t="str">
        <f t="shared" si="36"/>
        <v/>
      </c>
      <c r="N308" s="13"/>
      <c r="O308" s="13"/>
      <c r="P308" s="13"/>
      <c r="Q308" s="13"/>
      <c r="R308" s="13"/>
      <c r="S308" s="13"/>
      <c r="T308" s="13"/>
      <c r="U308" s="13"/>
      <c r="V308" s="13"/>
      <c r="W308" s="13"/>
      <c r="X308" s="13"/>
      <c r="Y308" s="13"/>
      <c r="Z308" s="9"/>
      <c r="AB308" t="str">
        <f t="shared" si="37"/>
        <v/>
      </c>
      <c r="AC308">
        <f t="shared" si="38"/>
        <v>0</v>
      </c>
      <c r="AD308">
        <f t="shared" si="39"/>
        <v>0</v>
      </c>
      <c r="AE308" t="str">
        <f t="shared" si="40"/>
        <v/>
      </c>
      <c r="AF308" t="str">
        <f t="shared" si="41"/>
        <v/>
      </c>
      <c r="AG308">
        <f t="shared" si="42"/>
        <v>0</v>
      </c>
      <c r="AH308" t="str">
        <f t="shared" si="43"/>
        <v/>
      </c>
      <c r="AI308" t="str">
        <f t="shared" si="44"/>
        <v/>
      </c>
    </row>
    <row r="309" spans="1:35" x14ac:dyDescent="0.25">
      <c r="A309" s="9"/>
      <c r="B309" s="9"/>
      <c r="C309" s="9"/>
      <c r="D309" s="9"/>
      <c r="E309" s="9"/>
      <c r="F309" s="9"/>
      <c r="G309" s="9"/>
      <c r="H309" s="10"/>
      <c r="I309" s="10"/>
      <c r="J309" s="9"/>
      <c r="K309" s="11"/>
      <c r="L309" s="11"/>
      <c r="M309" s="12" t="str">
        <f t="shared" si="36"/>
        <v/>
      </c>
      <c r="N309" s="13"/>
      <c r="O309" s="13"/>
      <c r="P309" s="13"/>
      <c r="Q309" s="13"/>
      <c r="R309" s="13"/>
      <c r="S309" s="13"/>
      <c r="T309" s="13"/>
      <c r="U309" s="13"/>
      <c r="V309" s="13"/>
      <c r="W309" s="13"/>
      <c r="X309" s="13"/>
      <c r="Y309" s="13"/>
      <c r="Z309" s="9"/>
      <c r="AB309" t="str">
        <f t="shared" si="37"/>
        <v/>
      </c>
      <c r="AC309">
        <f t="shared" si="38"/>
        <v>0</v>
      </c>
      <c r="AD309">
        <f t="shared" si="39"/>
        <v>0</v>
      </c>
      <c r="AE309" t="str">
        <f t="shared" si="40"/>
        <v/>
      </c>
      <c r="AF309" t="str">
        <f t="shared" si="41"/>
        <v/>
      </c>
      <c r="AG309">
        <f t="shared" si="42"/>
        <v>0</v>
      </c>
      <c r="AH309" t="str">
        <f t="shared" si="43"/>
        <v/>
      </c>
      <c r="AI309" t="str">
        <f t="shared" si="44"/>
        <v/>
      </c>
    </row>
    <row r="310" spans="1:35" x14ac:dyDescent="0.25">
      <c r="A310" s="9"/>
      <c r="B310" s="9"/>
      <c r="C310" s="9"/>
      <c r="D310" s="9"/>
      <c r="E310" s="9"/>
      <c r="F310" s="9"/>
      <c r="G310" s="9"/>
      <c r="H310" s="10"/>
      <c r="I310" s="10"/>
      <c r="J310" s="9"/>
      <c r="K310" s="11"/>
      <c r="L310" s="11"/>
      <c r="M310" s="12" t="str">
        <f t="shared" si="36"/>
        <v/>
      </c>
      <c r="N310" s="13"/>
      <c r="O310" s="13"/>
      <c r="P310" s="13"/>
      <c r="Q310" s="13"/>
      <c r="R310" s="13"/>
      <c r="S310" s="13"/>
      <c r="T310" s="13"/>
      <c r="U310" s="13"/>
      <c r="V310" s="13"/>
      <c r="W310" s="13"/>
      <c r="X310" s="13"/>
      <c r="Y310" s="13"/>
      <c r="Z310" s="9"/>
      <c r="AB310" t="str">
        <f t="shared" si="37"/>
        <v/>
      </c>
      <c r="AC310">
        <f t="shared" si="38"/>
        <v>0</v>
      </c>
      <c r="AD310">
        <f t="shared" si="39"/>
        <v>0</v>
      </c>
      <c r="AE310" t="str">
        <f t="shared" si="40"/>
        <v/>
      </c>
      <c r="AF310" t="str">
        <f t="shared" si="41"/>
        <v/>
      </c>
      <c r="AG310">
        <f t="shared" si="42"/>
        <v>0</v>
      </c>
      <c r="AH310" t="str">
        <f t="shared" si="43"/>
        <v/>
      </c>
      <c r="AI310" t="str">
        <f t="shared" si="44"/>
        <v/>
      </c>
    </row>
  </sheetData>
  <sheetProtection sheet="1" objects="1" scenarios="1" formatColumns="0" formatRows="0" autoFilter="0"/>
  <autoFilter ref="A10:Z310" xr:uid="{00000000-0009-0000-0000-000002000000}"/>
  <mergeCells count="12">
    <mergeCell ref="B4:C4"/>
    <mergeCell ref="B5:C5"/>
    <mergeCell ref="B6:C6"/>
    <mergeCell ref="B7:C7"/>
    <mergeCell ref="D4:E4"/>
    <mergeCell ref="D5:E5"/>
    <mergeCell ref="J4:L4"/>
    <mergeCell ref="J5:L5"/>
    <mergeCell ref="J6:L6"/>
    <mergeCell ref="J7:L7"/>
    <mergeCell ref="F4:I4"/>
    <mergeCell ref="F5:I5"/>
  </mergeCells>
  <conditionalFormatting sqref="M11:M310">
    <cfRule type="expression" dxfId="4" priority="3" stopIfTrue="1">
      <formula>LEFT($M11,1)="⚠"</formula>
    </cfRule>
    <cfRule type="expression" dxfId="3" priority="4" stopIfTrue="1">
      <formula>AND(LEFT($M11,1)="✔",ISNUMBER(SEARCH("⚠",$M11)))</formula>
    </cfRule>
    <cfRule type="expression" dxfId="2" priority="5">
      <formula>LEFT($M11,1)="✔"</formula>
    </cfRule>
  </conditionalFormatting>
  <conditionalFormatting sqref="M7">
    <cfRule type="expression" dxfId="1" priority="1">
      <formula>LEFT($B$18,1)="✔"</formula>
    </cfRule>
    <cfRule type="expression" dxfId="0" priority="2">
      <formula>LEFT($B$18,7)="Corrija"</formula>
    </cfRule>
  </conditionalFormatting>
  <dataValidations count="12">
    <dataValidation type="list" allowBlank="1" showErrorMessage="1" errorTitle="Categoría" error="Elija la categoría de la lista desplegable." sqref="B11:B310" xr:uid="{00000000-0002-0000-0200-000000000000}">
      <formula1>Lista_Categoria</formula1>
    </dataValidation>
    <dataValidation type="list" allowBlank="1" showErrorMessage="1" errorTitle="Sede" error="Elija la sede de la lista desplegable." sqref="F11:F310" xr:uid="{00000000-0002-0000-0200-000001000000}">
      <formula1>Lista_Sede</formula1>
    </dataValidation>
    <dataValidation type="list" allowBlank="1" showInputMessage="1" showErrorMessage="1" errorTitle="¿Se repite?" error="Elija una opción de la lista desplegable." promptTitle="¿Se repite?" prompt="Déjelo vacío si no se repite. Si se repite, elija cada cuánto y escriba en «Hasta» la última fecha." sqref="J11:J310" xr:uid="{00000000-0002-0000-0200-000002000000}">
      <formula1>Lista_Repite</formula1>
    </dataValidation>
    <dataValidation type="time" allowBlank="1" showErrorMessage="1" errorTitle="Hora" error="Escriba la hora como hh:mm, por ejemplo 08:00 o 14:30." sqref="H11:I310" xr:uid="{00000000-0002-0000-0200-000003000000}">
      <formula1>TIME(0,0,0)</formula1>
      <formula2>TIME(23,59,59)</formula2>
    </dataValidation>
    <dataValidation type="date" allowBlank="1" showInputMessage="1" showErrorMessage="1" errorTitle="Fecha" error="Escriba una fecha real como dd/mm/aaaa (ej. 03/02/2027)." promptTitle="Desde" prompt="Fecha de la actividad, o la primera fecha si se repite. Ej. 03/02/2027." sqref="K11:K310" xr:uid="{00000000-0002-0000-0200-000004000000}">
      <formula1>DATE(2026,1,1)</formula1>
      <formula2>DATE(2028,12,31)</formula2>
    </dataValidation>
    <dataValidation type="date" operator="greaterThanOrEqual" allowBlank="1" showInputMessage="1" showErrorMessage="1" errorTitle="Fecha" error="Debe ser una fecha igual o posterior a «Desde», como dd/mm/aaaa." promptTitle="Hasta" prompt="Solo si dura varios días o se repite: la última fecha." sqref="L11:L310" xr:uid="{00000000-0002-0000-0200-000005000000}">
      <formula1>K11</formula1>
    </dataValidation>
    <dataValidation type="date" allowBlank="1" showInputMessage="1" showErrorMessage="1" errorTitle="Fecha" error="Escriba una fecha real como dd/mm/aaaa, una por casilla." promptTitle="Fechas específicas" prompt="Solo si eligió «En fechas específicas»: una fecha por casilla." sqref="N11:Y310" xr:uid="{00000000-0002-0000-0200-000006000000}">
      <formula1>DATE(2026,1,1)</formula1>
      <formula2>DATE(2028,12,31)</formula2>
    </dataValidation>
    <dataValidation type="list" allowBlank="1" showInputMessage="1" showErrorMessage="1" errorTitle="Calendario" error="Elija Académico o Administrativo en la lista desplegable." sqref="E11:E310" xr:uid="{78696667-39A2-458B-9A1C-668267651992}">
      <formula1>Lista_Calendario</formula1>
    </dataValidation>
    <dataValidation type="list" errorStyle="information" allowBlank="1" showInputMessage="1" showErrorMessage="1" errorTitle="Área que no está en la lista" error="Si su área no está en la lista, escriba su nombre oficial completo y pulse Aceptar." sqref="D11:D310" xr:uid="{2B98EAA6-5FEB-4610-BA25-B342979136A4}">
      <formula1>Lista_Areas</formula1>
    </dataValidation>
    <dataValidation type="list" allowBlank="1" showErrorMessage="1" errorTitle="Valor no permitido" error="Elija un valor de la lista." sqref="B5" xr:uid="{E36A8FFF-EAA2-4213-8E16-633FE10905B9}">
      <formula1>Lista_UnidadLider</formula1>
    </dataValidation>
    <dataValidation type="list" allowBlank="1" showErrorMessage="1" errorTitle="Valor no permitido" error="Elija un valor de la lista." sqref="B6" xr:uid="{3D811AC5-5F0C-46C1-ACF5-108DD14B81C3}">
      <formula1>Lista_Sede</formula1>
    </dataValidation>
    <dataValidation type="list" allowBlank="1" showInputMessage="1" showErrorMessage="1" errorTitle="Valor no permitido" error="Elija un valor de la lista." sqref="B7" xr:uid="{9C154076-AD46-433E-8280-11CB7B8E3DCB}">
      <formula1>Lista_Calendario</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32"/>
  <sheetViews>
    <sheetView workbookViewId="0"/>
  </sheetViews>
  <sheetFormatPr baseColWidth="10" defaultColWidth="9.140625" defaultRowHeight="15" x14ac:dyDescent="0.25"/>
  <cols>
    <col min="1" max="6" width="30" customWidth="1"/>
  </cols>
  <sheetData>
    <row r="1" spans="1:8" x14ac:dyDescent="0.25">
      <c r="A1" s="4" t="s">
        <v>53</v>
      </c>
      <c r="B1" s="4" t="s">
        <v>54</v>
      </c>
      <c r="C1" s="4" t="s">
        <v>55</v>
      </c>
      <c r="D1" s="4" t="s">
        <v>56</v>
      </c>
      <c r="E1" s="4" t="s">
        <v>57</v>
      </c>
      <c r="F1" s="4" t="s">
        <v>58</v>
      </c>
      <c r="G1" s="15" t="s">
        <v>86</v>
      </c>
      <c r="H1" s="15" t="s">
        <v>96</v>
      </c>
    </row>
    <row r="2" spans="1:8" x14ac:dyDescent="0.25">
      <c r="A2" s="5" t="s">
        <v>44</v>
      </c>
      <c r="B2" s="5" t="s">
        <v>45</v>
      </c>
      <c r="C2" s="5" t="s">
        <v>59</v>
      </c>
      <c r="D2" s="5" t="s">
        <v>60</v>
      </c>
      <c r="E2" s="14">
        <v>46023</v>
      </c>
      <c r="F2" s="5">
        <v>0</v>
      </c>
      <c r="G2" t="s">
        <v>87</v>
      </c>
      <c r="H2" t="s">
        <v>60</v>
      </c>
    </row>
    <row r="3" spans="1:8" x14ac:dyDescent="0.25">
      <c r="A3" s="5" t="s">
        <v>49</v>
      </c>
      <c r="B3" s="5" t="s">
        <v>61</v>
      </c>
      <c r="C3" s="5" t="s">
        <v>48</v>
      </c>
      <c r="D3" s="5" t="s">
        <v>62</v>
      </c>
      <c r="E3" s="14">
        <v>46034</v>
      </c>
      <c r="F3" s="5">
        <v>1</v>
      </c>
      <c r="G3" t="s">
        <v>88</v>
      </c>
      <c r="H3" t="s">
        <v>62</v>
      </c>
    </row>
    <row r="4" spans="1:8" x14ac:dyDescent="0.25">
      <c r="A4" s="5" t="s">
        <v>63</v>
      </c>
      <c r="B4" s="5" t="s">
        <v>43</v>
      </c>
      <c r="C4" s="5" t="s">
        <v>64</v>
      </c>
      <c r="D4" s="5" t="s">
        <v>65</v>
      </c>
      <c r="E4" s="14">
        <v>46104</v>
      </c>
      <c r="F4" s="5">
        <v>2</v>
      </c>
      <c r="H4" t="s">
        <v>65</v>
      </c>
    </row>
    <row r="5" spans="1:8" x14ac:dyDescent="0.25">
      <c r="A5" s="5" t="s">
        <v>47</v>
      </c>
      <c r="B5" s="5" t="s">
        <v>66</v>
      </c>
      <c r="C5" s="5" t="s">
        <v>46</v>
      </c>
      <c r="E5" s="14">
        <v>46114</v>
      </c>
      <c r="F5" s="5">
        <v>3</v>
      </c>
      <c r="H5" t="s">
        <v>97</v>
      </c>
    </row>
    <row r="6" spans="1:8" x14ac:dyDescent="0.25">
      <c r="A6" s="5" t="s">
        <v>67</v>
      </c>
      <c r="B6" s="5" t="s">
        <v>68</v>
      </c>
      <c r="C6" s="5" t="s">
        <v>69</v>
      </c>
      <c r="E6" s="14">
        <v>46115</v>
      </c>
      <c r="F6" s="5">
        <v>4</v>
      </c>
      <c r="H6" t="s">
        <v>98</v>
      </c>
    </row>
    <row r="7" spans="1:8" x14ac:dyDescent="0.25">
      <c r="A7" s="5" t="s">
        <v>70</v>
      </c>
      <c r="B7" s="5" t="s">
        <v>42</v>
      </c>
      <c r="C7" s="5" t="s">
        <v>71</v>
      </c>
      <c r="E7" s="14">
        <v>46143</v>
      </c>
      <c r="F7" s="5">
        <v>5</v>
      </c>
      <c r="H7" t="s">
        <v>99</v>
      </c>
    </row>
    <row r="8" spans="1:8" x14ac:dyDescent="0.25">
      <c r="A8" s="5" t="s">
        <v>72</v>
      </c>
      <c r="B8" s="5" t="s">
        <v>73</v>
      </c>
      <c r="C8" s="5" t="s">
        <v>74</v>
      </c>
      <c r="E8" s="14">
        <v>46160</v>
      </c>
      <c r="F8" s="5">
        <v>6</v>
      </c>
      <c r="H8" t="s">
        <v>100</v>
      </c>
    </row>
    <row r="9" spans="1:8" x14ac:dyDescent="0.25">
      <c r="A9" s="5" t="s">
        <v>75</v>
      </c>
      <c r="B9" s="5" t="s">
        <v>85</v>
      </c>
      <c r="C9" s="5" t="s">
        <v>50</v>
      </c>
      <c r="E9" s="14">
        <v>46181</v>
      </c>
      <c r="F9" s="5">
        <v>7</v>
      </c>
      <c r="H9" t="s">
        <v>101</v>
      </c>
    </row>
    <row r="10" spans="1:8" x14ac:dyDescent="0.25">
      <c r="A10" s="5" t="s">
        <v>76</v>
      </c>
      <c r="B10" s="5" t="s">
        <v>52</v>
      </c>
      <c r="E10" s="14">
        <v>46188</v>
      </c>
      <c r="F10" s="5">
        <v>8</v>
      </c>
      <c r="H10" t="s">
        <v>102</v>
      </c>
    </row>
    <row r="11" spans="1:8" x14ac:dyDescent="0.25">
      <c r="A11" s="5" t="s">
        <v>41</v>
      </c>
      <c r="E11" s="14">
        <v>46202</v>
      </c>
      <c r="F11" s="5">
        <v>9</v>
      </c>
      <c r="H11" t="s">
        <v>103</v>
      </c>
    </row>
    <row r="12" spans="1:8" x14ac:dyDescent="0.25">
      <c r="A12" s="5" t="s">
        <v>77</v>
      </c>
      <c r="E12" s="14">
        <v>46223</v>
      </c>
      <c r="F12" s="5">
        <v>10</v>
      </c>
      <c r="H12" t="s">
        <v>104</v>
      </c>
    </row>
    <row r="13" spans="1:8" x14ac:dyDescent="0.25">
      <c r="A13" s="5" t="s">
        <v>78</v>
      </c>
      <c r="E13" s="14">
        <v>46241</v>
      </c>
      <c r="F13" s="5">
        <v>11</v>
      </c>
      <c r="H13" t="s">
        <v>105</v>
      </c>
    </row>
    <row r="14" spans="1:8" x14ac:dyDescent="0.25">
      <c r="A14" s="5" t="s">
        <v>51</v>
      </c>
      <c r="E14" s="14">
        <v>46251</v>
      </c>
      <c r="F14" s="5">
        <v>12</v>
      </c>
      <c r="H14" t="s">
        <v>106</v>
      </c>
    </row>
    <row r="15" spans="1:8" x14ac:dyDescent="0.25">
      <c r="A15" s="5" t="s">
        <v>79</v>
      </c>
      <c r="E15" s="14">
        <v>46307</v>
      </c>
      <c r="F15" s="5">
        <v>13</v>
      </c>
      <c r="H15" t="s">
        <v>107</v>
      </c>
    </row>
    <row r="16" spans="1:8" x14ac:dyDescent="0.25">
      <c r="A16" s="5" t="s">
        <v>80</v>
      </c>
      <c r="E16" s="14">
        <v>46328</v>
      </c>
      <c r="F16" s="5">
        <v>14</v>
      </c>
      <c r="H16" t="s">
        <v>108</v>
      </c>
    </row>
    <row r="17" spans="1:8" x14ac:dyDescent="0.25">
      <c r="A17" s="5" t="s">
        <v>81</v>
      </c>
      <c r="E17" s="14">
        <v>46342</v>
      </c>
      <c r="F17" s="5">
        <v>15</v>
      </c>
      <c r="H17" t="s">
        <v>109</v>
      </c>
    </row>
    <row r="18" spans="1:8" x14ac:dyDescent="0.25">
      <c r="A18" s="5" t="s">
        <v>82</v>
      </c>
      <c r="E18" s="14">
        <v>46364</v>
      </c>
      <c r="F18" s="5">
        <v>16</v>
      </c>
      <c r="H18" t="s">
        <v>110</v>
      </c>
    </row>
    <row r="19" spans="1:8" x14ac:dyDescent="0.25">
      <c r="A19" s="5" t="s">
        <v>83</v>
      </c>
      <c r="E19" s="14">
        <v>46381</v>
      </c>
      <c r="F19" s="5">
        <v>17</v>
      </c>
      <c r="H19" t="s">
        <v>111</v>
      </c>
    </row>
    <row r="20" spans="1:8" x14ac:dyDescent="0.25">
      <c r="A20" s="5" t="s">
        <v>84</v>
      </c>
      <c r="E20" s="14">
        <v>46388</v>
      </c>
      <c r="F20" s="5">
        <v>18</v>
      </c>
      <c r="H20" t="s">
        <v>112</v>
      </c>
    </row>
    <row r="21" spans="1:8" x14ac:dyDescent="0.25">
      <c r="E21" s="14">
        <v>46398</v>
      </c>
      <c r="F21" s="5">
        <v>19</v>
      </c>
      <c r="H21" t="s">
        <v>113</v>
      </c>
    </row>
    <row r="22" spans="1:8" x14ac:dyDescent="0.25">
      <c r="E22" s="14">
        <v>46468</v>
      </c>
      <c r="F22" s="5">
        <v>20</v>
      </c>
      <c r="H22" t="s">
        <v>114</v>
      </c>
    </row>
    <row r="23" spans="1:8" x14ac:dyDescent="0.25">
      <c r="E23" s="14">
        <v>46471</v>
      </c>
      <c r="F23" s="5">
        <v>21</v>
      </c>
      <c r="H23" t="s">
        <v>115</v>
      </c>
    </row>
    <row r="24" spans="1:8" x14ac:dyDescent="0.25">
      <c r="E24" s="14">
        <v>46472</v>
      </c>
      <c r="F24" s="5">
        <v>22</v>
      </c>
      <c r="H24" t="s">
        <v>116</v>
      </c>
    </row>
    <row r="25" spans="1:8" x14ac:dyDescent="0.25">
      <c r="E25" s="14">
        <v>46508</v>
      </c>
      <c r="F25" s="5">
        <v>23</v>
      </c>
      <c r="H25" t="s">
        <v>117</v>
      </c>
    </row>
    <row r="26" spans="1:8" x14ac:dyDescent="0.25">
      <c r="E26" s="14">
        <v>46517</v>
      </c>
      <c r="F26" s="5">
        <v>24</v>
      </c>
      <c r="H26" t="s">
        <v>118</v>
      </c>
    </row>
    <row r="27" spans="1:8" x14ac:dyDescent="0.25">
      <c r="E27" s="14">
        <v>46538</v>
      </c>
      <c r="F27" s="5">
        <v>25</v>
      </c>
      <c r="H27" t="s">
        <v>119</v>
      </c>
    </row>
    <row r="28" spans="1:8" x14ac:dyDescent="0.25">
      <c r="E28" s="14">
        <v>46545</v>
      </c>
      <c r="F28" s="5">
        <v>26</v>
      </c>
      <c r="H28" t="s">
        <v>120</v>
      </c>
    </row>
    <row r="29" spans="1:8" x14ac:dyDescent="0.25">
      <c r="E29" s="14">
        <v>46573</v>
      </c>
      <c r="F29" s="5">
        <v>27</v>
      </c>
      <c r="H29" t="s">
        <v>121</v>
      </c>
    </row>
    <row r="30" spans="1:8" x14ac:dyDescent="0.25">
      <c r="E30" s="14">
        <v>46588</v>
      </c>
      <c r="F30" s="5">
        <v>28</v>
      </c>
      <c r="H30" t="s">
        <v>122</v>
      </c>
    </row>
    <row r="31" spans="1:8" x14ac:dyDescent="0.25">
      <c r="E31" s="14">
        <v>46606</v>
      </c>
      <c r="F31" s="5">
        <v>29</v>
      </c>
      <c r="H31" t="s">
        <v>94</v>
      </c>
    </row>
    <row r="32" spans="1:8" x14ac:dyDescent="0.25">
      <c r="E32" s="14">
        <v>46615</v>
      </c>
      <c r="F32" s="5">
        <v>30</v>
      </c>
      <c r="H32" t="s">
        <v>123</v>
      </c>
    </row>
    <row r="33" spans="5:8" x14ac:dyDescent="0.25">
      <c r="E33" s="14">
        <v>46678</v>
      </c>
      <c r="F33" s="5">
        <v>31</v>
      </c>
      <c r="H33" t="s">
        <v>124</v>
      </c>
    </row>
    <row r="34" spans="5:8" x14ac:dyDescent="0.25">
      <c r="E34" s="14">
        <v>46692</v>
      </c>
      <c r="F34" s="5">
        <v>32</v>
      </c>
      <c r="H34" t="s">
        <v>125</v>
      </c>
    </row>
    <row r="35" spans="5:8" x14ac:dyDescent="0.25">
      <c r="E35" s="14">
        <v>46706</v>
      </c>
      <c r="F35" s="5">
        <v>33</v>
      </c>
      <c r="H35" t="s">
        <v>126</v>
      </c>
    </row>
    <row r="36" spans="5:8" x14ac:dyDescent="0.25">
      <c r="E36" s="14">
        <v>46729</v>
      </c>
      <c r="F36" s="5">
        <v>34</v>
      </c>
      <c r="H36" t="s">
        <v>127</v>
      </c>
    </row>
    <row r="37" spans="5:8" x14ac:dyDescent="0.25">
      <c r="E37" s="14">
        <v>46746</v>
      </c>
      <c r="F37" s="5">
        <v>35</v>
      </c>
      <c r="H37" t="s">
        <v>128</v>
      </c>
    </row>
    <row r="38" spans="5:8" x14ac:dyDescent="0.25">
      <c r="E38" s="14">
        <v>46753</v>
      </c>
      <c r="F38" s="5">
        <v>36</v>
      </c>
      <c r="H38" t="s">
        <v>129</v>
      </c>
    </row>
    <row r="39" spans="5:8" x14ac:dyDescent="0.25">
      <c r="E39" s="14">
        <v>46762</v>
      </c>
      <c r="F39" s="5">
        <v>37</v>
      </c>
      <c r="H39" t="s">
        <v>130</v>
      </c>
    </row>
    <row r="40" spans="5:8" x14ac:dyDescent="0.25">
      <c r="E40" s="14">
        <v>46832</v>
      </c>
      <c r="F40" s="5">
        <v>38</v>
      </c>
      <c r="H40" t="s">
        <v>131</v>
      </c>
    </row>
    <row r="41" spans="5:8" x14ac:dyDescent="0.25">
      <c r="E41" s="14">
        <v>46856</v>
      </c>
      <c r="F41" s="5">
        <v>39</v>
      </c>
      <c r="H41" t="s">
        <v>132</v>
      </c>
    </row>
    <row r="42" spans="5:8" x14ac:dyDescent="0.25">
      <c r="E42" s="14">
        <v>46857</v>
      </c>
      <c r="F42" s="5">
        <v>40</v>
      </c>
      <c r="H42" t="s">
        <v>133</v>
      </c>
    </row>
    <row r="43" spans="5:8" x14ac:dyDescent="0.25">
      <c r="E43" s="14">
        <v>46874</v>
      </c>
      <c r="F43" s="5">
        <v>41</v>
      </c>
      <c r="H43" t="s">
        <v>134</v>
      </c>
    </row>
    <row r="44" spans="5:8" x14ac:dyDescent="0.25">
      <c r="E44" s="14">
        <v>46902</v>
      </c>
      <c r="F44" s="5">
        <v>42</v>
      </c>
      <c r="H44" t="s">
        <v>135</v>
      </c>
    </row>
    <row r="45" spans="5:8" x14ac:dyDescent="0.25">
      <c r="E45" s="14">
        <v>46923</v>
      </c>
      <c r="F45" s="5">
        <v>43</v>
      </c>
      <c r="H45" t="s">
        <v>136</v>
      </c>
    </row>
    <row r="46" spans="5:8" x14ac:dyDescent="0.25">
      <c r="E46" s="14">
        <v>46930</v>
      </c>
      <c r="F46" s="5">
        <v>44</v>
      </c>
      <c r="H46" t="s">
        <v>137</v>
      </c>
    </row>
    <row r="47" spans="5:8" x14ac:dyDescent="0.25">
      <c r="E47" s="14">
        <v>46937</v>
      </c>
      <c r="F47" s="5">
        <v>45</v>
      </c>
      <c r="H47" t="s">
        <v>138</v>
      </c>
    </row>
    <row r="48" spans="5:8" x14ac:dyDescent="0.25">
      <c r="E48" s="14">
        <v>46954</v>
      </c>
      <c r="F48" s="5">
        <v>46</v>
      </c>
      <c r="H48" t="s">
        <v>139</v>
      </c>
    </row>
    <row r="49" spans="5:8" x14ac:dyDescent="0.25">
      <c r="E49" s="14">
        <v>46972</v>
      </c>
      <c r="F49" s="5">
        <v>47</v>
      </c>
      <c r="H49" t="s">
        <v>140</v>
      </c>
    </row>
    <row r="50" spans="5:8" x14ac:dyDescent="0.25">
      <c r="E50" s="14">
        <v>46986</v>
      </c>
      <c r="F50" s="5">
        <v>48</v>
      </c>
      <c r="H50" t="s">
        <v>141</v>
      </c>
    </row>
    <row r="51" spans="5:8" x14ac:dyDescent="0.25">
      <c r="E51" s="14">
        <v>47042</v>
      </c>
      <c r="F51" s="5">
        <v>49</v>
      </c>
      <c r="H51" t="s">
        <v>142</v>
      </c>
    </row>
    <row r="52" spans="5:8" x14ac:dyDescent="0.25">
      <c r="E52" s="14">
        <v>47063</v>
      </c>
      <c r="F52" s="5">
        <v>50</v>
      </c>
      <c r="H52" t="s">
        <v>143</v>
      </c>
    </row>
    <row r="53" spans="5:8" x14ac:dyDescent="0.25">
      <c r="E53" s="14">
        <v>47070</v>
      </c>
      <c r="F53" s="5">
        <v>51</v>
      </c>
      <c r="H53" t="s">
        <v>144</v>
      </c>
    </row>
    <row r="54" spans="5:8" x14ac:dyDescent="0.25">
      <c r="E54" s="14">
        <v>47095</v>
      </c>
      <c r="F54" s="5">
        <v>52</v>
      </c>
      <c r="H54" t="s">
        <v>93</v>
      </c>
    </row>
    <row r="55" spans="5:8" x14ac:dyDescent="0.25">
      <c r="E55" s="14">
        <v>47112</v>
      </c>
      <c r="F55" s="5">
        <v>53</v>
      </c>
      <c r="H55" t="s">
        <v>145</v>
      </c>
    </row>
    <row r="56" spans="5:8" x14ac:dyDescent="0.25">
      <c r="F56" s="5">
        <v>54</v>
      </c>
      <c r="H56" t="s">
        <v>95</v>
      </c>
    </row>
    <row r="57" spans="5:8" x14ac:dyDescent="0.25">
      <c r="F57" s="5">
        <v>55</v>
      </c>
      <c r="H57" t="s">
        <v>146</v>
      </c>
    </row>
    <row r="58" spans="5:8" x14ac:dyDescent="0.25">
      <c r="F58" s="5">
        <v>56</v>
      </c>
      <c r="H58" t="s">
        <v>147</v>
      </c>
    </row>
    <row r="59" spans="5:8" x14ac:dyDescent="0.25">
      <c r="F59" s="5">
        <v>57</v>
      </c>
      <c r="H59" t="s">
        <v>148</v>
      </c>
    </row>
    <row r="60" spans="5:8" x14ac:dyDescent="0.25">
      <c r="F60" s="5">
        <v>58</v>
      </c>
      <c r="H60" t="s">
        <v>149</v>
      </c>
    </row>
    <row r="61" spans="5:8" x14ac:dyDescent="0.25">
      <c r="F61" s="5">
        <v>59</v>
      </c>
      <c r="H61" t="s">
        <v>150</v>
      </c>
    </row>
    <row r="62" spans="5:8" x14ac:dyDescent="0.25">
      <c r="F62" s="5">
        <v>60</v>
      </c>
      <c r="H62" t="s">
        <v>151</v>
      </c>
    </row>
    <row r="63" spans="5:8" x14ac:dyDescent="0.25">
      <c r="F63" s="5">
        <v>61</v>
      </c>
    </row>
    <row r="64" spans="5:8" x14ac:dyDescent="0.25">
      <c r="F64" s="5">
        <v>62</v>
      </c>
    </row>
    <row r="65" spans="6:6" x14ac:dyDescent="0.25">
      <c r="F65" s="5">
        <v>63</v>
      </c>
    </row>
    <row r="66" spans="6:6" x14ac:dyDescent="0.25">
      <c r="F66" s="5">
        <v>64</v>
      </c>
    </row>
    <row r="67" spans="6:6" x14ac:dyDescent="0.25">
      <c r="F67" s="5">
        <v>65</v>
      </c>
    </row>
    <row r="68" spans="6:6" x14ac:dyDescent="0.25">
      <c r="F68" s="5">
        <v>66</v>
      </c>
    </row>
    <row r="69" spans="6:6" x14ac:dyDescent="0.25">
      <c r="F69" s="5">
        <v>67</v>
      </c>
    </row>
    <row r="70" spans="6:6" x14ac:dyDescent="0.25">
      <c r="F70" s="5">
        <v>68</v>
      </c>
    </row>
    <row r="71" spans="6:6" x14ac:dyDescent="0.25">
      <c r="F71" s="5">
        <v>69</v>
      </c>
    </row>
    <row r="72" spans="6:6" x14ac:dyDescent="0.25">
      <c r="F72" s="5">
        <v>70</v>
      </c>
    </row>
    <row r="73" spans="6:6" x14ac:dyDescent="0.25">
      <c r="F73" s="5">
        <v>71</v>
      </c>
    </row>
    <row r="74" spans="6:6" x14ac:dyDescent="0.25">
      <c r="F74" s="5">
        <v>72</v>
      </c>
    </row>
    <row r="75" spans="6:6" x14ac:dyDescent="0.25">
      <c r="F75" s="5">
        <v>73</v>
      </c>
    </row>
    <row r="76" spans="6:6" x14ac:dyDescent="0.25">
      <c r="F76" s="5">
        <v>74</v>
      </c>
    </row>
    <row r="77" spans="6:6" x14ac:dyDescent="0.25">
      <c r="F77" s="5">
        <v>75</v>
      </c>
    </row>
    <row r="78" spans="6:6" x14ac:dyDescent="0.25">
      <c r="F78" s="5">
        <v>76</v>
      </c>
    </row>
    <row r="79" spans="6:6" x14ac:dyDescent="0.25">
      <c r="F79" s="5">
        <v>77</v>
      </c>
    </row>
    <row r="80" spans="6:6" x14ac:dyDescent="0.25">
      <c r="F80" s="5">
        <v>78</v>
      </c>
    </row>
    <row r="81" spans="6:6" x14ac:dyDescent="0.25">
      <c r="F81" s="5">
        <v>79</v>
      </c>
    </row>
    <row r="82" spans="6:6" x14ac:dyDescent="0.25">
      <c r="F82" s="5">
        <v>80</v>
      </c>
    </row>
    <row r="83" spans="6:6" x14ac:dyDescent="0.25">
      <c r="F83" s="5">
        <v>81</v>
      </c>
    </row>
    <row r="84" spans="6:6" x14ac:dyDescent="0.25">
      <c r="F84" s="5">
        <v>82</v>
      </c>
    </row>
    <row r="85" spans="6:6" x14ac:dyDescent="0.25">
      <c r="F85" s="5">
        <v>83</v>
      </c>
    </row>
    <row r="86" spans="6:6" x14ac:dyDescent="0.25">
      <c r="F86" s="5">
        <v>84</v>
      </c>
    </row>
    <row r="87" spans="6:6" x14ac:dyDescent="0.25">
      <c r="F87" s="5">
        <v>85</v>
      </c>
    </row>
    <row r="88" spans="6:6" x14ac:dyDescent="0.25">
      <c r="F88" s="5">
        <v>86</v>
      </c>
    </row>
    <row r="89" spans="6:6" x14ac:dyDescent="0.25">
      <c r="F89" s="5">
        <v>87</v>
      </c>
    </row>
    <row r="90" spans="6:6" x14ac:dyDescent="0.25">
      <c r="F90" s="5">
        <v>88</v>
      </c>
    </row>
    <row r="91" spans="6:6" x14ac:dyDescent="0.25">
      <c r="F91" s="5">
        <v>89</v>
      </c>
    </row>
    <row r="92" spans="6:6" x14ac:dyDescent="0.25">
      <c r="F92" s="5">
        <v>90</v>
      </c>
    </row>
    <row r="93" spans="6:6" x14ac:dyDescent="0.25">
      <c r="F93" s="5">
        <v>91</v>
      </c>
    </row>
    <row r="94" spans="6:6" x14ac:dyDescent="0.25">
      <c r="F94" s="5">
        <v>92</v>
      </c>
    </row>
    <row r="95" spans="6:6" x14ac:dyDescent="0.25">
      <c r="F95" s="5">
        <v>93</v>
      </c>
    </row>
    <row r="96" spans="6:6" x14ac:dyDescent="0.25">
      <c r="F96" s="5">
        <v>94</v>
      </c>
    </row>
    <row r="97" spans="6:6" x14ac:dyDescent="0.25">
      <c r="F97" s="5">
        <v>95</v>
      </c>
    </row>
    <row r="98" spans="6:6" x14ac:dyDescent="0.25">
      <c r="F98" s="5">
        <v>96</v>
      </c>
    </row>
    <row r="99" spans="6:6" x14ac:dyDescent="0.25">
      <c r="F99" s="5">
        <v>97</v>
      </c>
    </row>
    <row r="100" spans="6:6" x14ac:dyDescent="0.25">
      <c r="F100" s="5">
        <v>98</v>
      </c>
    </row>
    <row r="101" spans="6:6" x14ac:dyDescent="0.25">
      <c r="F101" s="5">
        <v>99</v>
      </c>
    </row>
    <row r="102" spans="6:6" x14ac:dyDescent="0.25">
      <c r="F102" s="5">
        <v>100</v>
      </c>
    </row>
    <row r="103" spans="6:6" x14ac:dyDescent="0.25">
      <c r="F103" s="5">
        <v>101</v>
      </c>
    </row>
    <row r="104" spans="6:6" x14ac:dyDescent="0.25">
      <c r="F104" s="5">
        <v>102</v>
      </c>
    </row>
    <row r="105" spans="6:6" x14ac:dyDescent="0.25">
      <c r="F105" s="5">
        <v>103</v>
      </c>
    </row>
    <row r="106" spans="6:6" x14ac:dyDescent="0.25">
      <c r="F106" s="5">
        <v>104</v>
      </c>
    </row>
    <row r="107" spans="6:6" x14ac:dyDescent="0.25">
      <c r="F107" s="5">
        <v>105</v>
      </c>
    </row>
    <row r="108" spans="6:6" x14ac:dyDescent="0.25">
      <c r="F108" s="5">
        <v>106</v>
      </c>
    </row>
    <row r="109" spans="6:6" x14ac:dyDescent="0.25">
      <c r="F109" s="5">
        <v>107</v>
      </c>
    </row>
    <row r="110" spans="6:6" x14ac:dyDescent="0.25">
      <c r="F110" s="5">
        <v>108</v>
      </c>
    </row>
    <row r="111" spans="6:6" x14ac:dyDescent="0.25">
      <c r="F111" s="5">
        <v>109</v>
      </c>
    </row>
    <row r="112" spans="6:6" x14ac:dyDescent="0.25">
      <c r="F112" s="5">
        <v>110</v>
      </c>
    </row>
    <row r="113" spans="6:6" x14ac:dyDescent="0.25">
      <c r="F113" s="5">
        <v>111</v>
      </c>
    </row>
    <row r="114" spans="6:6" x14ac:dyDescent="0.25">
      <c r="F114" s="5">
        <v>112</v>
      </c>
    </row>
    <row r="115" spans="6:6" x14ac:dyDescent="0.25">
      <c r="F115" s="5">
        <v>113</v>
      </c>
    </row>
    <row r="116" spans="6:6" x14ac:dyDescent="0.25">
      <c r="F116" s="5">
        <v>114</v>
      </c>
    </row>
    <row r="117" spans="6:6" x14ac:dyDescent="0.25">
      <c r="F117" s="5">
        <v>115</v>
      </c>
    </row>
    <row r="118" spans="6:6" x14ac:dyDescent="0.25">
      <c r="F118" s="5">
        <v>116</v>
      </c>
    </row>
    <row r="119" spans="6:6" x14ac:dyDescent="0.25">
      <c r="F119" s="5">
        <v>117</v>
      </c>
    </row>
    <row r="120" spans="6:6" x14ac:dyDescent="0.25">
      <c r="F120" s="5">
        <v>118</v>
      </c>
    </row>
    <row r="121" spans="6:6" x14ac:dyDescent="0.25">
      <c r="F121" s="5">
        <v>119</v>
      </c>
    </row>
    <row r="122" spans="6:6" x14ac:dyDescent="0.25">
      <c r="F122" s="5">
        <v>120</v>
      </c>
    </row>
    <row r="123" spans="6:6" x14ac:dyDescent="0.25">
      <c r="F123" s="5">
        <v>121</v>
      </c>
    </row>
    <row r="124" spans="6:6" x14ac:dyDescent="0.25">
      <c r="F124" s="5">
        <v>122</v>
      </c>
    </row>
    <row r="125" spans="6:6" x14ac:dyDescent="0.25">
      <c r="F125" s="5">
        <v>123</v>
      </c>
    </row>
    <row r="126" spans="6:6" x14ac:dyDescent="0.25">
      <c r="F126" s="5">
        <v>124</v>
      </c>
    </row>
    <row r="127" spans="6:6" x14ac:dyDescent="0.25">
      <c r="F127" s="5">
        <v>125</v>
      </c>
    </row>
    <row r="128" spans="6:6" x14ac:dyDescent="0.25">
      <c r="F128" s="5">
        <v>126</v>
      </c>
    </row>
    <row r="129" spans="6:6" x14ac:dyDescent="0.25">
      <c r="F129" s="5">
        <v>127</v>
      </c>
    </row>
    <row r="130" spans="6:6" x14ac:dyDescent="0.25">
      <c r="F130" s="5">
        <v>128</v>
      </c>
    </row>
    <row r="131" spans="6:6" x14ac:dyDescent="0.25">
      <c r="F131" s="5">
        <v>129</v>
      </c>
    </row>
    <row r="132" spans="6:6" x14ac:dyDescent="0.25">
      <c r="F132" s="5">
        <v>130</v>
      </c>
    </row>
    <row r="133" spans="6:6" x14ac:dyDescent="0.25">
      <c r="F133" s="5">
        <v>131</v>
      </c>
    </row>
    <row r="134" spans="6:6" x14ac:dyDescent="0.25">
      <c r="F134" s="5">
        <v>132</v>
      </c>
    </row>
    <row r="135" spans="6:6" x14ac:dyDescent="0.25">
      <c r="F135" s="5">
        <v>133</v>
      </c>
    </row>
    <row r="136" spans="6:6" x14ac:dyDescent="0.25">
      <c r="F136" s="5">
        <v>134</v>
      </c>
    </row>
    <row r="137" spans="6:6" x14ac:dyDescent="0.25">
      <c r="F137" s="5">
        <v>135</v>
      </c>
    </row>
    <row r="138" spans="6:6" x14ac:dyDescent="0.25">
      <c r="F138" s="5">
        <v>136</v>
      </c>
    </row>
    <row r="139" spans="6:6" x14ac:dyDescent="0.25">
      <c r="F139" s="5">
        <v>137</v>
      </c>
    </row>
    <row r="140" spans="6:6" x14ac:dyDescent="0.25">
      <c r="F140" s="5">
        <v>138</v>
      </c>
    </row>
    <row r="141" spans="6:6" x14ac:dyDescent="0.25">
      <c r="F141" s="5">
        <v>139</v>
      </c>
    </row>
    <row r="142" spans="6:6" x14ac:dyDescent="0.25">
      <c r="F142" s="5">
        <v>140</v>
      </c>
    </row>
    <row r="143" spans="6:6" x14ac:dyDescent="0.25">
      <c r="F143" s="5">
        <v>141</v>
      </c>
    </row>
    <row r="144" spans="6:6" x14ac:dyDescent="0.25">
      <c r="F144" s="5">
        <v>142</v>
      </c>
    </row>
    <row r="145" spans="6:6" x14ac:dyDescent="0.25">
      <c r="F145" s="5">
        <v>143</v>
      </c>
    </row>
    <row r="146" spans="6:6" x14ac:dyDescent="0.25">
      <c r="F146" s="5">
        <v>144</v>
      </c>
    </row>
    <row r="147" spans="6:6" x14ac:dyDescent="0.25">
      <c r="F147" s="5">
        <v>145</v>
      </c>
    </row>
    <row r="148" spans="6:6" x14ac:dyDescent="0.25">
      <c r="F148" s="5">
        <v>146</v>
      </c>
    </row>
    <row r="149" spans="6:6" x14ac:dyDescent="0.25">
      <c r="F149" s="5">
        <v>147</v>
      </c>
    </row>
    <row r="150" spans="6:6" x14ac:dyDescent="0.25">
      <c r="F150" s="5">
        <v>148</v>
      </c>
    </row>
    <row r="151" spans="6:6" x14ac:dyDescent="0.25">
      <c r="F151" s="5">
        <v>149</v>
      </c>
    </row>
    <row r="152" spans="6:6" x14ac:dyDescent="0.25">
      <c r="F152" s="5">
        <v>150</v>
      </c>
    </row>
    <row r="153" spans="6:6" x14ac:dyDescent="0.25">
      <c r="F153" s="5">
        <v>151</v>
      </c>
    </row>
    <row r="154" spans="6:6" x14ac:dyDescent="0.25">
      <c r="F154" s="5">
        <v>152</v>
      </c>
    </row>
    <row r="155" spans="6:6" x14ac:dyDescent="0.25">
      <c r="F155" s="5">
        <v>153</v>
      </c>
    </row>
    <row r="156" spans="6:6" x14ac:dyDescent="0.25">
      <c r="F156" s="5">
        <v>154</v>
      </c>
    </row>
    <row r="157" spans="6:6" x14ac:dyDescent="0.25">
      <c r="F157" s="5">
        <v>155</v>
      </c>
    </row>
    <row r="158" spans="6:6" x14ac:dyDescent="0.25">
      <c r="F158" s="5">
        <v>156</v>
      </c>
    </row>
    <row r="159" spans="6:6" x14ac:dyDescent="0.25">
      <c r="F159" s="5">
        <v>157</v>
      </c>
    </row>
    <row r="160" spans="6:6" x14ac:dyDescent="0.25">
      <c r="F160" s="5">
        <v>158</v>
      </c>
    </row>
    <row r="161" spans="6:6" x14ac:dyDescent="0.25">
      <c r="F161" s="5">
        <v>159</v>
      </c>
    </row>
    <row r="162" spans="6:6" x14ac:dyDescent="0.25">
      <c r="F162" s="5">
        <v>160</v>
      </c>
    </row>
    <row r="163" spans="6:6" x14ac:dyDescent="0.25">
      <c r="F163" s="5">
        <v>161</v>
      </c>
    </row>
    <row r="164" spans="6:6" x14ac:dyDescent="0.25">
      <c r="F164" s="5">
        <v>162</v>
      </c>
    </row>
    <row r="165" spans="6:6" x14ac:dyDescent="0.25">
      <c r="F165" s="5">
        <v>163</v>
      </c>
    </row>
    <row r="166" spans="6:6" x14ac:dyDescent="0.25">
      <c r="F166" s="5">
        <v>164</v>
      </c>
    </row>
    <row r="167" spans="6:6" x14ac:dyDescent="0.25">
      <c r="F167" s="5">
        <v>165</v>
      </c>
    </row>
    <row r="168" spans="6:6" x14ac:dyDescent="0.25">
      <c r="F168" s="5">
        <v>166</v>
      </c>
    </row>
    <row r="169" spans="6:6" x14ac:dyDescent="0.25">
      <c r="F169" s="5">
        <v>167</v>
      </c>
    </row>
    <row r="170" spans="6:6" x14ac:dyDescent="0.25">
      <c r="F170" s="5">
        <v>168</v>
      </c>
    </row>
    <row r="171" spans="6:6" x14ac:dyDescent="0.25">
      <c r="F171" s="5">
        <v>169</v>
      </c>
    </row>
    <row r="172" spans="6:6" x14ac:dyDescent="0.25">
      <c r="F172" s="5">
        <v>170</v>
      </c>
    </row>
    <row r="173" spans="6:6" x14ac:dyDescent="0.25">
      <c r="F173" s="5">
        <v>171</v>
      </c>
    </row>
    <row r="174" spans="6:6" x14ac:dyDescent="0.25">
      <c r="F174" s="5">
        <v>172</v>
      </c>
    </row>
    <row r="175" spans="6:6" x14ac:dyDescent="0.25">
      <c r="F175" s="5">
        <v>173</v>
      </c>
    </row>
    <row r="176" spans="6:6" x14ac:dyDescent="0.25">
      <c r="F176" s="5">
        <v>174</v>
      </c>
    </row>
    <row r="177" spans="6:6" x14ac:dyDescent="0.25">
      <c r="F177" s="5">
        <v>175</v>
      </c>
    </row>
    <row r="178" spans="6:6" x14ac:dyDescent="0.25">
      <c r="F178" s="5">
        <v>176</v>
      </c>
    </row>
    <row r="179" spans="6:6" x14ac:dyDescent="0.25">
      <c r="F179" s="5">
        <v>177</v>
      </c>
    </row>
    <row r="180" spans="6:6" x14ac:dyDescent="0.25">
      <c r="F180" s="5">
        <v>178</v>
      </c>
    </row>
    <row r="181" spans="6:6" x14ac:dyDescent="0.25">
      <c r="F181" s="5">
        <v>179</v>
      </c>
    </row>
    <row r="182" spans="6:6" x14ac:dyDescent="0.25">
      <c r="F182" s="5">
        <v>180</v>
      </c>
    </row>
    <row r="183" spans="6:6" x14ac:dyDescent="0.25">
      <c r="F183" s="5">
        <v>181</v>
      </c>
    </row>
    <row r="184" spans="6:6" x14ac:dyDescent="0.25">
      <c r="F184" s="5">
        <v>182</v>
      </c>
    </row>
    <row r="185" spans="6:6" x14ac:dyDescent="0.25">
      <c r="F185" s="5">
        <v>183</v>
      </c>
    </row>
    <row r="186" spans="6:6" x14ac:dyDescent="0.25">
      <c r="F186" s="5">
        <v>184</v>
      </c>
    </row>
    <row r="187" spans="6:6" x14ac:dyDescent="0.25">
      <c r="F187" s="5">
        <v>185</v>
      </c>
    </row>
    <row r="188" spans="6:6" x14ac:dyDescent="0.25">
      <c r="F188" s="5">
        <v>186</v>
      </c>
    </row>
    <row r="189" spans="6:6" x14ac:dyDescent="0.25">
      <c r="F189" s="5">
        <v>187</v>
      </c>
    </row>
    <row r="190" spans="6:6" x14ac:dyDescent="0.25">
      <c r="F190" s="5">
        <v>188</v>
      </c>
    </row>
    <row r="191" spans="6:6" x14ac:dyDescent="0.25">
      <c r="F191" s="5">
        <v>189</v>
      </c>
    </row>
    <row r="192" spans="6:6" x14ac:dyDescent="0.25">
      <c r="F192" s="5">
        <v>190</v>
      </c>
    </row>
    <row r="193" spans="6:6" x14ac:dyDescent="0.25">
      <c r="F193" s="5">
        <v>191</v>
      </c>
    </row>
    <row r="194" spans="6:6" x14ac:dyDescent="0.25">
      <c r="F194" s="5">
        <v>192</v>
      </c>
    </row>
    <row r="195" spans="6:6" x14ac:dyDescent="0.25">
      <c r="F195" s="5">
        <v>193</v>
      </c>
    </row>
    <row r="196" spans="6:6" x14ac:dyDescent="0.25">
      <c r="F196" s="5">
        <v>194</v>
      </c>
    </row>
    <row r="197" spans="6:6" x14ac:dyDescent="0.25">
      <c r="F197" s="5">
        <v>195</v>
      </c>
    </row>
    <row r="198" spans="6:6" x14ac:dyDescent="0.25">
      <c r="F198" s="5">
        <v>196</v>
      </c>
    </row>
    <row r="199" spans="6:6" x14ac:dyDescent="0.25">
      <c r="F199" s="5">
        <v>197</v>
      </c>
    </row>
    <row r="200" spans="6:6" x14ac:dyDescent="0.25">
      <c r="F200" s="5">
        <v>198</v>
      </c>
    </row>
    <row r="201" spans="6:6" x14ac:dyDescent="0.25">
      <c r="F201" s="5">
        <v>199</v>
      </c>
    </row>
    <row r="202" spans="6:6" x14ac:dyDescent="0.25">
      <c r="F202" s="5">
        <v>200</v>
      </c>
    </row>
    <row r="203" spans="6:6" x14ac:dyDescent="0.25">
      <c r="F203" s="5">
        <v>201</v>
      </c>
    </row>
    <row r="204" spans="6:6" x14ac:dyDescent="0.25">
      <c r="F204" s="5">
        <v>202</v>
      </c>
    </row>
    <row r="205" spans="6:6" x14ac:dyDescent="0.25">
      <c r="F205" s="5">
        <v>203</v>
      </c>
    </row>
    <row r="206" spans="6:6" x14ac:dyDescent="0.25">
      <c r="F206" s="5">
        <v>204</v>
      </c>
    </row>
    <row r="207" spans="6:6" x14ac:dyDescent="0.25">
      <c r="F207" s="5">
        <v>205</v>
      </c>
    </row>
    <row r="208" spans="6:6" x14ac:dyDescent="0.25">
      <c r="F208" s="5">
        <v>206</v>
      </c>
    </row>
    <row r="209" spans="6:6" x14ac:dyDescent="0.25">
      <c r="F209" s="5">
        <v>207</v>
      </c>
    </row>
    <row r="210" spans="6:6" x14ac:dyDescent="0.25">
      <c r="F210" s="5">
        <v>208</v>
      </c>
    </row>
    <row r="211" spans="6:6" x14ac:dyDescent="0.25">
      <c r="F211" s="5">
        <v>209</v>
      </c>
    </row>
    <row r="212" spans="6:6" x14ac:dyDescent="0.25">
      <c r="F212" s="5">
        <v>210</v>
      </c>
    </row>
    <row r="213" spans="6:6" x14ac:dyDescent="0.25">
      <c r="F213" s="5">
        <v>211</v>
      </c>
    </row>
    <row r="214" spans="6:6" x14ac:dyDescent="0.25">
      <c r="F214" s="5">
        <v>212</v>
      </c>
    </row>
    <row r="215" spans="6:6" x14ac:dyDescent="0.25">
      <c r="F215" s="5">
        <v>213</v>
      </c>
    </row>
    <row r="216" spans="6:6" x14ac:dyDescent="0.25">
      <c r="F216" s="5">
        <v>214</v>
      </c>
    </row>
    <row r="217" spans="6:6" x14ac:dyDescent="0.25">
      <c r="F217" s="5">
        <v>215</v>
      </c>
    </row>
    <row r="218" spans="6:6" x14ac:dyDescent="0.25">
      <c r="F218" s="5">
        <v>216</v>
      </c>
    </row>
    <row r="219" spans="6:6" x14ac:dyDescent="0.25">
      <c r="F219" s="5">
        <v>217</v>
      </c>
    </row>
    <row r="220" spans="6:6" x14ac:dyDescent="0.25">
      <c r="F220" s="5">
        <v>218</v>
      </c>
    </row>
    <row r="221" spans="6:6" x14ac:dyDescent="0.25">
      <c r="F221" s="5">
        <v>219</v>
      </c>
    </row>
    <row r="222" spans="6:6" x14ac:dyDescent="0.25">
      <c r="F222" s="5">
        <v>220</v>
      </c>
    </row>
    <row r="223" spans="6:6" x14ac:dyDescent="0.25">
      <c r="F223" s="5">
        <v>221</v>
      </c>
    </row>
    <row r="224" spans="6:6" x14ac:dyDescent="0.25">
      <c r="F224" s="5">
        <v>222</v>
      </c>
    </row>
    <row r="225" spans="6:6" x14ac:dyDescent="0.25">
      <c r="F225" s="5">
        <v>223</v>
      </c>
    </row>
    <row r="226" spans="6:6" x14ac:dyDescent="0.25">
      <c r="F226" s="5">
        <v>224</v>
      </c>
    </row>
    <row r="227" spans="6:6" x14ac:dyDescent="0.25">
      <c r="F227" s="5">
        <v>225</v>
      </c>
    </row>
    <row r="228" spans="6:6" x14ac:dyDescent="0.25">
      <c r="F228" s="5">
        <v>226</v>
      </c>
    </row>
    <row r="229" spans="6:6" x14ac:dyDescent="0.25">
      <c r="F229" s="5">
        <v>227</v>
      </c>
    </row>
    <row r="230" spans="6:6" x14ac:dyDescent="0.25">
      <c r="F230" s="5">
        <v>228</v>
      </c>
    </row>
    <row r="231" spans="6:6" x14ac:dyDescent="0.25">
      <c r="F231" s="5">
        <v>229</v>
      </c>
    </row>
    <row r="232" spans="6:6" x14ac:dyDescent="0.25">
      <c r="F232" s="5">
        <v>230</v>
      </c>
    </row>
    <row r="233" spans="6:6" x14ac:dyDescent="0.25">
      <c r="F233" s="5">
        <v>231</v>
      </c>
    </row>
    <row r="234" spans="6:6" x14ac:dyDescent="0.25">
      <c r="F234" s="5">
        <v>232</v>
      </c>
    </row>
    <row r="235" spans="6:6" x14ac:dyDescent="0.25">
      <c r="F235" s="5">
        <v>233</v>
      </c>
    </row>
    <row r="236" spans="6:6" x14ac:dyDescent="0.25">
      <c r="F236" s="5">
        <v>234</v>
      </c>
    </row>
    <row r="237" spans="6:6" x14ac:dyDescent="0.25">
      <c r="F237" s="5">
        <v>235</v>
      </c>
    </row>
    <row r="238" spans="6:6" x14ac:dyDescent="0.25">
      <c r="F238" s="5">
        <v>236</v>
      </c>
    </row>
    <row r="239" spans="6:6" x14ac:dyDescent="0.25">
      <c r="F239" s="5">
        <v>237</v>
      </c>
    </row>
    <row r="240" spans="6:6" x14ac:dyDescent="0.25">
      <c r="F240" s="5">
        <v>238</v>
      </c>
    </row>
    <row r="241" spans="6:6" x14ac:dyDescent="0.25">
      <c r="F241" s="5">
        <v>239</v>
      </c>
    </row>
    <row r="242" spans="6:6" x14ac:dyDescent="0.25">
      <c r="F242" s="5">
        <v>240</v>
      </c>
    </row>
    <row r="243" spans="6:6" x14ac:dyDescent="0.25">
      <c r="F243" s="5">
        <v>241</v>
      </c>
    </row>
    <row r="244" spans="6:6" x14ac:dyDescent="0.25">
      <c r="F244" s="5">
        <v>242</v>
      </c>
    </row>
    <row r="245" spans="6:6" x14ac:dyDescent="0.25">
      <c r="F245" s="5">
        <v>243</v>
      </c>
    </row>
    <row r="246" spans="6:6" x14ac:dyDescent="0.25">
      <c r="F246" s="5">
        <v>244</v>
      </c>
    </row>
    <row r="247" spans="6:6" x14ac:dyDescent="0.25">
      <c r="F247" s="5">
        <v>245</v>
      </c>
    </row>
    <row r="248" spans="6:6" x14ac:dyDescent="0.25">
      <c r="F248" s="5">
        <v>246</v>
      </c>
    </row>
    <row r="249" spans="6:6" x14ac:dyDescent="0.25">
      <c r="F249" s="5">
        <v>247</v>
      </c>
    </row>
    <row r="250" spans="6:6" x14ac:dyDescent="0.25">
      <c r="F250" s="5">
        <v>248</v>
      </c>
    </row>
    <row r="251" spans="6:6" x14ac:dyDescent="0.25">
      <c r="F251" s="5">
        <v>249</v>
      </c>
    </row>
    <row r="252" spans="6:6" x14ac:dyDescent="0.25">
      <c r="F252" s="5">
        <v>250</v>
      </c>
    </row>
    <row r="253" spans="6:6" x14ac:dyDescent="0.25">
      <c r="F253" s="5">
        <v>251</v>
      </c>
    </row>
    <row r="254" spans="6:6" x14ac:dyDescent="0.25">
      <c r="F254" s="5">
        <v>252</v>
      </c>
    </row>
    <row r="255" spans="6:6" x14ac:dyDescent="0.25">
      <c r="F255" s="5">
        <v>253</v>
      </c>
    </row>
    <row r="256" spans="6:6" x14ac:dyDescent="0.25">
      <c r="F256" s="5">
        <v>254</v>
      </c>
    </row>
    <row r="257" spans="6:6" x14ac:dyDescent="0.25">
      <c r="F257" s="5">
        <v>255</v>
      </c>
    </row>
    <row r="258" spans="6:6" x14ac:dyDescent="0.25">
      <c r="F258" s="5">
        <v>256</v>
      </c>
    </row>
    <row r="259" spans="6:6" x14ac:dyDescent="0.25">
      <c r="F259" s="5">
        <v>257</v>
      </c>
    </row>
    <row r="260" spans="6:6" x14ac:dyDescent="0.25">
      <c r="F260" s="5">
        <v>258</v>
      </c>
    </row>
    <row r="261" spans="6:6" x14ac:dyDescent="0.25">
      <c r="F261" s="5">
        <v>259</v>
      </c>
    </row>
    <row r="262" spans="6:6" x14ac:dyDescent="0.25">
      <c r="F262" s="5">
        <v>260</v>
      </c>
    </row>
    <row r="263" spans="6:6" x14ac:dyDescent="0.25">
      <c r="F263" s="5">
        <v>261</v>
      </c>
    </row>
    <row r="264" spans="6:6" x14ac:dyDescent="0.25">
      <c r="F264" s="5">
        <v>262</v>
      </c>
    </row>
    <row r="265" spans="6:6" x14ac:dyDescent="0.25">
      <c r="F265" s="5">
        <v>263</v>
      </c>
    </row>
    <row r="266" spans="6:6" x14ac:dyDescent="0.25">
      <c r="F266" s="5">
        <v>264</v>
      </c>
    </row>
    <row r="267" spans="6:6" x14ac:dyDescent="0.25">
      <c r="F267" s="5">
        <v>265</v>
      </c>
    </row>
    <row r="268" spans="6:6" x14ac:dyDescent="0.25">
      <c r="F268" s="5">
        <v>266</v>
      </c>
    </row>
    <row r="269" spans="6:6" x14ac:dyDescent="0.25">
      <c r="F269" s="5">
        <v>267</v>
      </c>
    </row>
    <row r="270" spans="6:6" x14ac:dyDescent="0.25">
      <c r="F270" s="5">
        <v>268</v>
      </c>
    </row>
    <row r="271" spans="6:6" x14ac:dyDescent="0.25">
      <c r="F271" s="5">
        <v>269</v>
      </c>
    </row>
    <row r="272" spans="6:6" x14ac:dyDescent="0.25">
      <c r="F272" s="5">
        <v>270</v>
      </c>
    </row>
    <row r="273" spans="6:6" x14ac:dyDescent="0.25">
      <c r="F273" s="5">
        <v>271</v>
      </c>
    </row>
    <row r="274" spans="6:6" x14ac:dyDescent="0.25">
      <c r="F274" s="5">
        <v>272</v>
      </c>
    </row>
    <row r="275" spans="6:6" x14ac:dyDescent="0.25">
      <c r="F275" s="5">
        <v>273</v>
      </c>
    </row>
    <row r="276" spans="6:6" x14ac:dyDescent="0.25">
      <c r="F276" s="5">
        <v>274</v>
      </c>
    </row>
    <row r="277" spans="6:6" x14ac:dyDescent="0.25">
      <c r="F277" s="5">
        <v>275</v>
      </c>
    </row>
    <row r="278" spans="6:6" x14ac:dyDescent="0.25">
      <c r="F278" s="5">
        <v>276</v>
      </c>
    </row>
    <row r="279" spans="6:6" x14ac:dyDescent="0.25">
      <c r="F279" s="5">
        <v>277</v>
      </c>
    </row>
    <row r="280" spans="6:6" x14ac:dyDescent="0.25">
      <c r="F280" s="5">
        <v>278</v>
      </c>
    </row>
    <row r="281" spans="6:6" x14ac:dyDescent="0.25">
      <c r="F281" s="5">
        <v>279</v>
      </c>
    </row>
    <row r="282" spans="6:6" x14ac:dyDescent="0.25">
      <c r="F282" s="5">
        <v>280</v>
      </c>
    </row>
    <row r="283" spans="6:6" x14ac:dyDescent="0.25">
      <c r="F283" s="5">
        <v>281</v>
      </c>
    </row>
    <row r="284" spans="6:6" x14ac:dyDescent="0.25">
      <c r="F284" s="5">
        <v>282</v>
      </c>
    </row>
    <row r="285" spans="6:6" x14ac:dyDescent="0.25">
      <c r="F285" s="5">
        <v>283</v>
      </c>
    </row>
    <row r="286" spans="6:6" x14ac:dyDescent="0.25">
      <c r="F286" s="5">
        <v>284</v>
      </c>
    </row>
    <row r="287" spans="6:6" x14ac:dyDescent="0.25">
      <c r="F287" s="5">
        <v>285</v>
      </c>
    </row>
    <row r="288" spans="6:6" x14ac:dyDescent="0.25">
      <c r="F288" s="5">
        <v>286</v>
      </c>
    </row>
    <row r="289" spans="6:6" x14ac:dyDescent="0.25">
      <c r="F289" s="5">
        <v>287</v>
      </c>
    </row>
    <row r="290" spans="6:6" x14ac:dyDescent="0.25">
      <c r="F290" s="5">
        <v>288</v>
      </c>
    </row>
    <row r="291" spans="6:6" x14ac:dyDescent="0.25">
      <c r="F291" s="5">
        <v>289</v>
      </c>
    </row>
    <row r="292" spans="6:6" x14ac:dyDescent="0.25">
      <c r="F292" s="5">
        <v>290</v>
      </c>
    </row>
    <row r="293" spans="6:6" x14ac:dyDescent="0.25">
      <c r="F293" s="5">
        <v>291</v>
      </c>
    </row>
    <row r="294" spans="6:6" x14ac:dyDescent="0.25">
      <c r="F294" s="5">
        <v>292</v>
      </c>
    </row>
    <row r="295" spans="6:6" x14ac:dyDescent="0.25">
      <c r="F295" s="5">
        <v>293</v>
      </c>
    </row>
    <row r="296" spans="6:6" x14ac:dyDescent="0.25">
      <c r="F296" s="5">
        <v>294</v>
      </c>
    </row>
    <row r="297" spans="6:6" x14ac:dyDescent="0.25">
      <c r="F297" s="5">
        <v>295</v>
      </c>
    </row>
    <row r="298" spans="6:6" x14ac:dyDescent="0.25">
      <c r="F298" s="5">
        <v>296</v>
      </c>
    </row>
    <row r="299" spans="6:6" x14ac:dyDescent="0.25">
      <c r="F299" s="5">
        <v>297</v>
      </c>
    </row>
    <row r="300" spans="6:6" x14ac:dyDescent="0.25">
      <c r="F300" s="5">
        <v>298</v>
      </c>
    </row>
    <row r="301" spans="6:6" x14ac:dyDescent="0.25">
      <c r="F301" s="5">
        <v>299</v>
      </c>
    </row>
    <row r="302" spans="6:6" x14ac:dyDescent="0.25">
      <c r="F302" s="5">
        <v>300</v>
      </c>
    </row>
    <row r="303" spans="6:6" x14ac:dyDescent="0.25">
      <c r="F303" s="5">
        <v>301</v>
      </c>
    </row>
    <row r="304" spans="6:6" x14ac:dyDescent="0.25">
      <c r="F304" s="5">
        <v>302</v>
      </c>
    </row>
    <row r="305" spans="6:6" x14ac:dyDescent="0.25">
      <c r="F305" s="5">
        <v>303</v>
      </c>
    </row>
    <row r="306" spans="6:6" x14ac:dyDescent="0.25">
      <c r="F306" s="5">
        <v>304</v>
      </c>
    </row>
    <row r="307" spans="6:6" x14ac:dyDescent="0.25">
      <c r="F307" s="5">
        <v>305</v>
      </c>
    </row>
    <row r="308" spans="6:6" x14ac:dyDescent="0.25">
      <c r="F308" s="5">
        <v>306</v>
      </c>
    </row>
    <row r="309" spans="6:6" x14ac:dyDescent="0.25">
      <c r="F309" s="5">
        <v>307</v>
      </c>
    </row>
    <row r="310" spans="6:6" x14ac:dyDescent="0.25">
      <c r="F310" s="5">
        <v>308</v>
      </c>
    </row>
    <row r="311" spans="6:6" x14ac:dyDescent="0.25">
      <c r="F311" s="5">
        <v>309</v>
      </c>
    </row>
    <row r="312" spans="6:6" x14ac:dyDescent="0.25">
      <c r="F312" s="5">
        <v>310</v>
      </c>
    </row>
    <row r="313" spans="6:6" x14ac:dyDescent="0.25">
      <c r="F313" s="5">
        <v>311</v>
      </c>
    </row>
    <row r="314" spans="6:6" x14ac:dyDescent="0.25">
      <c r="F314" s="5">
        <v>312</v>
      </c>
    </row>
    <row r="315" spans="6:6" x14ac:dyDescent="0.25">
      <c r="F315" s="5">
        <v>313</v>
      </c>
    </row>
    <row r="316" spans="6:6" x14ac:dyDescent="0.25">
      <c r="F316" s="5">
        <v>314</v>
      </c>
    </row>
    <row r="317" spans="6:6" x14ac:dyDescent="0.25">
      <c r="F317" s="5">
        <v>315</v>
      </c>
    </row>
    <row r="318" spans="6:6" x14ac:dyDescent="0.25">
      <c r="F318" s="5">
        <v>316</v>
      </c>
    </row>
    <row r="319" spans="6:6" x14ac:dyDescent="0.25">
      <c r="F319" s="5">
        <v>317</v>
      </c>
    </row>
    <row r="320" spans="6:6" x14ac:dyDescent="0.25">
      <c r="F320" s="5">
        <v>318</v>
      </c>
    </row>
    <row r="321" spans="6:6" x14ac:dyDescent="0.25">
      <c r="F321" s="5">
        <v>319</v>
      </c>
    </row>
    <row r="322" spans="6:6" x14ac:dyDescent="0.25">
      <c r="F322" s="5">
        <v>320</v>
      </c>
    </row>
    <row r="323" spans="6:6" x14ac:dyDescent="0.25">
      <c r="F323" s="5">
        <v>321</v>
      </c>
    </row>
    <row r="324" spans="6:6" x14ac:dyDescent="0.25">
      <c r="F324" s="5">
        <v>322</v>
      </c>
    </row>
    <row r="325" spans="6:6" x14ac:dyDescent="0.25">
      <c r="F325" s="5">
        <v>323</v>
      </c>
    </row>
    <row r="326" spans="6:6" x14ac:dyDescent="0.25">
      <c r="F326" s="5">
        <v>324</v>
      </c>
    </row>
    <row r="327" spans="6:6" x14ac:dyDescent="0.25">
      <c r="F327" s="5">
        <v>325</v>
      </c>
    </row>
    <row r="328" spans="6:6" x14ac:dyDescent="0.25">
      <c r="F328" s="5">
        <v>326</v>
      </c>
    </row>
    <row r="329" spans="6:6" x14ac:dyDescent="0.25">
      <c r="F329" s="5">
        <v>327</v>
      </c>
    </row>
    <row r="330" spans="6:6" x14ac:dyDescent="0.25">
      <c r="F330" s="5">
        <v>328</v>
      </c>
    </row>
    <row r="331" spans="6:6" x14ac:dyDescent="0.25">
      <c r="F331" s="5">
        <v>329</v>
      </c>
    </row>
    <row r="332" spans="6:6" x14ac:dyDescent="0.25">
      <c r="F332" s="5">
        <v>330</v>
      </c>
    </row>
    <row r="333" spans="6:6" x14ac:dyDescent="0.25">
      <c r="F333" s="5">
        <v>331</v>
      </c>
    </row>
    <row r="334" spans="6:6" x14ac:dyDescent="0.25">
      <c r="F334" s="5">
        <v>332</v>
      </c>
    </row>
    <row r="335" spans="6:6" x14ac:dyDescent="0.25">
      <c r="F335" s="5">
        <v>333</v>
      </c>
    </row>
    <row r="336" spans="6:6" x14ac:dyDescent="0.25">
      <c r="F336" s="5">
        <v>334</v>
      </c>
    </row>
    <row r="337" spans="6:6" x14ac:dyDescent="0.25">
      <c r="F337" s="5">
        <v>335</v>
      </c>
    </row>
    <row r="338" spans="6:6" x14ac:dyDescent="0.25">
      <c r="F338" s="5">
        <v>336</v>
      </c>
    </row>
    <row r="339" spans="6:6" x14ac:dyDescent="0.25">
      <c r="F339" s="5">
        <v>337</v>
      </c>
    </row>
    <row r="340" spans="6:6" x14ac:dyDescent="0.25">
      <c r="F340" s="5">
        <v>338</v>
      </c>
    </row>
    <row r="341" spans="6:6" x14ac:dyDescent="0.25">
      <c r="F341" s="5">
        <v>339</v>
      </c>
    </row>
    <row r="342" spans="6:6" x14ac:dyDescent="0.25">
      <c r="F342" s="5">
        <v>340</v>
      </c>
    </row>
    <row r="343" spans="6:6" x14ac:dyDescent="0.25">
      <c r="F343" s="5">
        <v>341</v>
      </c>
    </row>
    <row r="344" spans="6:6" x14ac:dyDescent="0.25">
      <c r="F344" s="5">
        <v>342</v>
      </c>
    </row>
    <row r="345" spans="6:6" x14ac:dyDescent="0.25">
      <c r="F345" s="5">
        <v>343</v>
      </c>
    </row>
    <row r="346" spans="6:6" x14ac:dyDescent="0.25">
      <c r="F346" s="5">
        <v>344</v>
      </c>
    </row>
    <row r="347" spans="6:6" x14ac:dyDescent="0.25">
      <c r="F347" s="5">
        <v>345</v>
      </c>
    </row>
    <row r="348" spans="6:6" x14ac:dyDescent="0.25">
      <c r="F348" s="5">
        <v>346</v>
      </c>
    </row>
    <row r="349" spans="6:6" x14ac:dyDescent="0.25">
      <c r="F349" s="5">
        <v>347</v>
      </c>
    </row>
    <row r="350" spans="6:6" x14ac:dyDescent="0.25">
      <c r="F350" s="5">
        <v>348</v>
      </c>
    </row>
    <row r="351" spans="6:6" x14ac:dyDescent="0.25">
      <c r="F351" s="5">
        <v>349</v>
      </c>
    </row>
    <row r="352" spans="6:6" x14ac:dyDescent="0.25">
      <c r="F352" s="5">
        <v>350</v>
      </c>
    </row>
    <row r="353" spans="6:6" x14ac:dyDescent="0.25">
      <c r="F353" s="5">
        <v>351</v>
      </c>
    </row>
    <row r="354" spans="6:6" x14ac:dyDescent="0.25">
      <c r="F354" s="5">
        <v>352</v>
      </c>
    </row>
    <row r="355" spans="6:6" x14ac:dyDescent="0.25">
      <c r="F355" s="5">
        <v>353</v>
      </c>
    </row>
    <row r="356" spans="6:6" x14ac:dyDescent="0.25">
      <c r="F356" s="5">
        <v>354</v>
      </c>
    </row>
    <row r="357" spans="6:6" x14ac:dyDescent="0.25">
      <c r="F357" s="5">
        <v>355</v>
      </c>
    </row>
    <row r="358" spans="6:6" x14ac:dyDescent="0.25">
      <c r="F358" s="5">
        <v>356</v>
      </c>
    </row>
    <row r="359" spans="6:6" x14ac:dyDescent="0.25">
      <c r="F359" s="5">
        <v>357</v>
      </c>
    </row>
    <row r="360" spans="6:6" x14ac:dyDescent="0.25">
      <c r="F360" s="5">
        <v>358</v>
      </c>
    </row>
    <row r="361" spans="6:6" x14ac:dyDescent="0.25">
      <c r="F361" s="5">
        <v>359</v>
      </c>
    </row>
    <row r="362" spans="6:6" x14ac:dyDescent="0.25">
      <c r="F362" s="5">
        <v>360</v>
      </c>
    </row>
    <row r="363" spans="6:6" x14ac:dyDescent="0.25">
      <c r="F363" s="5">
        <v>361</v>
      </c>
    </row>
    <row r="364" spans="6:6" x14ac:dyDescent="0.25">
      <c r="F364" s="5">
        <v>362</v>
      </c>
    </row>
    <row r="365" spans="6:6" x14ac:dyDescent="0.25">
      <c r="F365" s="5">
        <v>363</v>
      </c>
    </row>
    <row r="366" spans="6:6" x14ac:dyDescent="0.25">
      <c r="F366" s="5">
        <v>364</v>
      </c>
    </row>
    <row r="367" spans="6:6" x14ac:dyDescent="0.25">
      <c r="F367" s="5">
        <v>365</v>
      </c>
    </row>
    <row r="368" spans="6:6" x14ac:dyDescent="0.25">
      <c r="F368" s="5">
        <v>366</v>
      </c>
    </row>
    <row r="369" spans="6:6" x14ac:dyDescent="0.25">
      <c r="F369" s="5">
        <v>367</v>
      </c>
    </row>
    <row r="370" spans="6:6" x14ac:dyDescent="0.25">
      <c r="F370" s="5">
        <v>368</v>
      </c>
    </row>
    <row r="371" spans="6:6" x14ac:dyDescent="0.25">
      <c r="F371" s="5">
        <v>369</v>
      </c>
    </row>
    <row r="372" spans="6:6" x14ac:dyDescent="0.25">
      <c r="F372" s="5">
        <v>370</v>
      </c>
    </row>
    <row r="373" spans="6:6" x14ac:dyDescent="0.25">
      <c r="F373" s="5">
        <v>371</v>
      </c>
    </row>
    <row r="374" spans="6:6" x14ac:dyDescent="0.25">
      <c r="F374" s="5">
        <v>372</v>
      </c>
    </row>
    <row r="375" spans="6:6" x14ac:dyDescent="0.25">
      <c r="F375" s="5">
        <v>373</v>
      </c>
    </row>
    <row r="376" spans="6:6" x14ac:dyDescent="0.25">
      <c r="F376" s="5">
        <v>374</v>
      </c>
    </row>
    <row r="377" spans="6:6" x14ac:dyDescent="0.25">
      <c r="F377" s="5">
        <v>375</v>
      </c>
    </row>
    <row r="378" spans="6:6" x14ac:dyDescent="0.25">
      <c r="F378" s="5">
        <v>376</v>
      </c>
    </row>
    <row r="379" spans="6:6" x14ac:dyDescent="0.25">
      <c r="F379" s="5">
        <v>377</v>
      </c>
    </row>
    <row r="380" spans="6:6" x14ac:dyDescent="0.25">
      <c r="F380" s="5">
        <v>378</v>
      </c>
    </row>
    <row r="381" spans="6:6" x14ac:dyDescent="0.25">
      <c r="F381" s="5">
        <v>379</v>
      </c>
    </row>
    <row r="382" spans="6:6" x14ac:dyDescent="0.25">
      <c r="F382" s="5">
        <v>380</v>
      </c>
    </row>
    <row r="383" spans="6:6" x14ac:dyDescent="0.25">
      <c r="F383" s="5">
        <v>381</v>
      </c>
    </row>
    <row r="384" spans="6:6" x14ac:dyDescent="0.25">
      <c r="F384" s="5">
        <v>382</v>
      </c>
    </row>
    <row r="385" spans="6:6" x14ac:dyDescent="0.25">
      <c r="F385" s="5">
        <v>383</v>
      </c>
    </row>
    <row r="386" spans="6:6" x14ac:dyDescent="0.25">
      <c r="F386" s="5">
        <v>384</v>
      </c>
    </row>
    <row r="387" spans="6:6" x14ac:dyDescent="0.25">
      <c r="F387" s="5">
        <v>385</v>
      </c>
    </row>
    <row r="388" spans="6:6" x14ac:dyDescent="0.25">
      <c r="F388" s="5">
        <v>386</v>
      </c>
    </row>
    <row r="389" spans="6:6" x14ac:dyDescent="0.25">
      <c r="F389" s="5">
        <v>387</v>
      </c>
    </row>
    <row r="390" spans="6:6" x14ac:dyDescent="0.25">
      <c r="F390" s="5">
        <v>388</v>
      </c>
    </row>
    <row r="391" spans="6:6" x14ac:dyDescent="0.25">
      <c r="F391" s="5">
        <v>389</v>
      </c>
    </row>
    <row r="392" spans="6:6" x14ac:dyDescent="0.25">
      <c r="F392" s="5">
        <v>390</v>
      </c>
    </row>
    <row r="393" spans="6:6" x14ac:dyDescent="0.25">
      <c r="F393" s="5">
        <v>391</v>
      </c>
    </row>
    <row r="394" spans="6:6" x14ac:dyDescent="0.25">
      <c r="F394" s="5">
        <v>392</v>
      </c>
    </row>
    <row r="395" spans="6:6" x14ac:dyDescent="0.25">
      <c r="F395" s="5">
        <v>393</v>
      </c>
    </row>
    <row r="396" spans="6:6" x14ac:dyDescent="0.25">
      <c r="F396" s="5">
        <v>394</v>
      </c>
    </row>
    <row r="397" spans="6:6" x14ac:dyDescent="0.25">
      <c r="F397" s="5">
        <v>395</v>
      </c>
    </row>
    <row r="398" spans="6:6" x14ac:dyDescent="0.25">
      <c r="F398" s="5">
        <v>396</v>
      </c>
    </row>
    <row r="399" spans="6:6" x14ac:dyDescent="0.25">
      <c r="F399" s="5">
        <v>397</v>
      </c>
    </row>
    <row r="400" spans="6:6" x14ac:dyDescent="0.25">
      <c r="F400" s="5">
        <v>398</v>
      </c>
    </row>
    <row r="401" spans="6:6" x14ac:dyDescent="0.25">
      <c r="F401" s="5">
        <v>399</v>
      </c>
    </row>
    <row r="402" spans="6:6" x14ac:dyDescent="0.25">
      <c r="F402" s="5">
        <v>400</v>
      </c>
    </row>
    <row r="403" spans="6:6" x14ac:dyDescent="0.25">
      <c r="F403" s="5">
        <v>401</v>
      </c>
    </row>
    <row r="404" spans="6:6" x14ac:dyDescent="0.25">
      <c r="F404" s="5">
        <v>402</v>
      </c>
    </row>
    <row r="405" spans="6:6" x14ac:dyDescent="0.25">
      <c r="F405" s="5">
        <v>403</v>
      </c>
    </row>
    <row r="406" spans="6:6" x14ac:dyDescent="0.25">
      <c r="F406" s="5">
        <v>404</v>
      </c>
    </row>
    <row r="407" spans="6:6" x14ac:dyDescent="0.25">
      <c r="F407" s="5">
        <v>405</v>
      </c>
    </row>
    <row r="408" spans="6:6" x14ac:dyDescent="0.25">
      <c r="F408" s="5">
        <v>406</v>
      </c>
    </row>
    <row r="409" spans="6:6" x14ac:dyDescent="0.25">
      <c r="F409" s="5">
        <v>407</v>
      </c>
    </row>
    <row r="410" spans="6:6" x14ac:dyDescent="0.25">
      <c r="F410" s="5">
        <v>408</v>
      </c>
    </row>
    <row r="411" spans="6:6" x14ac:dyDescent="0.25">
      <c r="F411" s="5">
        <v>409</v>
      </c>
    </row>
    <row r="412" spans="6:6" x14ac:dyDescent="0.25">
      <c r="F412" s="5">
        <v>410</v>
      </c>
    </row>
    <row r="413" spans="6:6" x14ac:dyDescent="0.25">
      <c r="F413" s="5">
        <v>411</v>
      </c>
    </row>
    <row r="414" spans="6:6" x14ac:dyDescent="0.25">
      <c r="F414" s="5">
        <v>412</v>
      </c>
    </row>
    <row r="415" spans="6:6" x14ac:dyDescent="0.25">
      <c r="F415" s="5">
        <v>413</v>
      </c>
    </row>
    <row r="416" spans="6:6" x14ac:dyDescent="0.25">
      <c r="F416" s="5">
        <v>414</v>
      </c>
    </row>
    <row r="417" spans="6:6" x14ac:dyDescent="0.25">
      <c r="F417" s="5">
        <v>415</v>
      </c>
    </row>
    <row r="418" spans="6:6" x14ac:dyDescent="0.25">
      <c r="F418" s="5">
        <v>416</v>
      </c>
    </row>
    <row r="419" spans="6:6" x14ac:dyDescent="0.25">
      <c r="F419" s="5">
        <v>417</v>
      </c>
    </row>
    <row r="420" spans="6:6" x14ac:dyDescent="0.25">
      <c r="F420" s="5">
        <v>418</v>
      </c>
    </row>
    <row r="421" spans="6:6" x14ac:dyDescent="0.25">
      <c r="F421" s="5">
        <v>419</v>
      </c>
    </row>
    <row r="422" spans="6:6" x14ac:dyDescent="0.25">
      <c r="F422" s="5">
        <v>420</v>
      </c>
    </row>
    <row r="423" spans="6:6" x14ac:dyDescent="0.25">
      <c r="F423" s="5">
        <v>421</v>
      </c>
    </row>
    <row r="424" spans="6:6" x14ac:dyDescent="0.25">
      <c r="F424" s="5">
        <v>422</v>
      </c>
    </row>
    <row r="425" spans="6:6" x14ac:dyDescent="0.25">
      <c r="F425" s="5">
        <v>423</v>
      </c>
    </row>
    <row r="426" spans="6:6" x14ac:dyDescent="0.25">
      <c r="F426" s="5">
        <v>424</v>
      </c>
    </row>
    <row r="427" spans="6:6" x14ac:dyDescent="0.25">
      <c r="F427" s="5">
        <v>425</v>
      </c>
    </row>
    <row r="428" spans="6:6" x14ac:dyDescent="0.25">
      <c r="F428" s="5">
        <v>426</v>
      </c>
    </row>
    <row r="429" spans="6:6" x14ac:dyDescent="0.25">
      <c r="F429" s="5">
        <v>427</v>
      </c>
    </row>
    <row r="430" spans="6:6" x14ac:dyDescent="0.25">
      <c r="F430" s="5">
        <v>428</v>
      </c>
    </row>
    <row r="431" spans="6:6" x14ac:dyDescent="0.25">
      <c r="F431" s="5">
        <v>429</v>
      </c>
    </row>
    <row r="432" spans="6:6" x14ac:dyDescent="0.25">
      <c r="F432" s="5">
        <v>430</v>
      </c>
    </row>
    <row r="433" spans="6:6" x14ac:dyDescent="0.25">
      <c r="F433" s="5">
        <v>431</v>
      </c>
    </row>
    <row r="434" spans="6:6" x14ac:dyDescent="0.25">
      <c r="F434" s="5">
        <v>432</v>
      </c>
    </row>
    <row r="435" spans="6:6" x14ac:dyDescent="0.25">
      <c r="F435" s="5">
        <v>433</v>
      </c>
    </row>
    <row r="436" spans="6:6" x14ac:dyDescent="0.25">
      <c r="F436" s="5">
        <v>434</v>
      </c>
    </row>
    <row r="437" spans="6:6" x14ac:dyDescent="0.25">
      <c r="F437" s="5">
        <v>435</v>
      </c>
    </row>
    <row r="438" spans="6:6" x14ac:dyDescent="0.25">
      <c r="F438" s="5">
        <v>436</v>
      </c>
    </row>
    <row r="439" spans="6:6" x14ac:dyDescent="0.25">
      <c r="F439" s="5">
        <v>437</v>
      </c>
    </row>
    <row r="440" spans="6:6" x14ac:dyDescent="0.25">
      <c r="F440" s="5">
        <v>438</v>
      </c>
    </row>
    <row r="441" spans="6:6" x14ac:dyDescent="0.25">
      <c r="F441" s="5">
        <v>439</v>
      </c>
    </row>
    <row r="442" spans="6:6" x14ac:dyDescent="0.25">
      <c r="F442" s="5">
        <v>440</v>
      </c>
    </row>
    <row r="443" spans="6:6" x14ac:dyDescent="0.25">
      <c r="F443" s="5">
        <v>441</v>
      </c>
    </row>
    <row r="444" spans="6:6" x14ac:dyDescent="0.25">
      <c r="F444" s="5">
        <v>442</v>
      </c>
    </row>
    <row r="445" spans="6:6" x14ac:dyDescent="0.25">
      <c r="F445" s="5">
        <v>443</v>
      </c>
    </row>
    <row r="446" spans="6:6" x14ac:dyDescent="0.25">
      <c r="F446" s="5">
        <v>444</v>
      </c>
    </row>
    <row r="447" spans="6:6" x14ac:dyDescent="0.25">
      <c r="F447" s="5">
        <v>445</v>
      </c>
    </row>
    <row r="448" spans="6:6" x14ac:dyDescent="0.25">
      <c r="F448" s="5">
        <v>446</v>
      </c>
    </row>
    <row r="449" spans="6:6" x14ac:dyDescent="0.25">
      <c r="F449" s="5">
        <v>447</v>
      </c>
    </row>
    <row r="450" spans="6:6" x14ac:dyDescent="0.25">
      <c r="F450" s="5">
        <v>448</v>
      </c>
    </row>
    <row r="451" spans="6:6" x14ac:dyDescent="0.25">
      <c r="F451" s="5">
        <v>449</v>
      </c>
    </row>
    <row r="452" spans="6:6" x14ac:dyDescent="0.25">
      <c r="F452" s="5">
        <v>450</v>
      </c>
    </row>
    <row r="453" spans="6:6" x14ac:dyDescent="0.25">
      <c r="F453" s="5">
        <v>451</v>
      </c>
    </row>
    <row r="454" spans="6:6" x14ac:dyDescent="0.25">
      <c r="F454" s="5">
        <v>452</v>
      </c>
    </row>
    <row r="455" spans="6:6" x14ac:dyDescent="0.25">
      <c r="F455" s="5">
        <v>453</v>
      </c>
    </row>
    <row r="456" spans="6:6" x14ac:dyDescent="0.25">
      <c r="F456" s="5">
        <v>454</v>
      </c>
    </row>
    <row r="457" spans="6:6" x14ac:dyDescent="0.25">
      <c r="F457" s="5">
        <v>455</v>
      </c>
    </row>
    <row r="458" spans="6:6" x14ac:dyDescent="0.25">
      <c r="F458" s="5">
        <v>456</v>
      </c>
    </row>
    <row r="459" spans="6:6" x14ac:dyDescent="0.25">
      <c r="F459" s="5">
        <v>457</v>
      </c>
    </row>
    <row r="460" spans="6:6" x14ac:dyDescent="0.25">
      <c r="F460" s="5">
        <v>458</v>
      </c>
    </row>
    <row r="461" spans="6:6" x14ac:dyDescent="0.25">
      <c r="F461" s="5">
        <v>459</v>
      </c>
    </row>
    <row r="462" spans="6:6" x14ac:dyDescent="0.25">
      <c r="F462" s="5">
        <v>460</v>
      </c>
    </row>
    <row r="463" spans="6:6" x14ac:dyDescent="0.25">
      <c r="F463" s="5">
        <v>461</v>
      </c>
    </row>
    <row r="464" spans="6:6" x14ac:dyDescent="0.25">
      <c r="F464" s="5">
        <v>462</v>
      </c>
    </row>
    <row r="465" spans="6:6" x14ac:dyDescent="0.25">
      <c r="F465" s="5">
        <v>463</v>
      </c>
    </row>
    <row r="466" spans="6:6" x14ac:dyDescent="0.25">
      <c r="F466" s="5">
        <v>464</v>
      </c>
    </row>
    <row r="467" spans="6:6" x14ac:dyDescent="0.25">
      <c r="F467" s="5">
        <v>465</v>
      </c>
    </row>
    <row r="468" spans="6:6" x14ac:dyDescent="0.25">
      <c r="F468" s="5">
        <v>466</v>
      </c>
    </row>
    <row r="469" spans="6:6" x14ac:dyDescent="0.25">
      <c r="F469" s="5">
        <v>467</v>
      </c>
    </row>
    <row r="470" spans="6:6" x14ac:dyDescent="0.25">
      <c r="F470" s="5">
        <v>468</v>
      </c>
    </row>
    <row r="471" spans="6:6" x14ac:dyDescent="0.25">
      <c r="F471" s="5">
        <v>469</v>
      </c>
    </row>
    <row r="472" spans="6:6" x14ac:dyDescent="0.25">
      <c r="F472" s="5">
        <v>470</v>
      </c>
    </row>
    <row r="473" spans="6:6" x14ac:dyDescent="0.25">
      <c r="F473" s="5">
        <v>471</v>
      </c>
    </row>
    <row r="474" spans="6:6" x14ac:dyDescent="0.25">
      <c r="F474" s="5">
        <v>472</v>
      </c>
    </row>
    <row r="475" spans="6:6" x14ac:dyDescent="0.25">
      <c r="F475" s="5">
        <v>473</v>
      </c>
    </row>
    <row r="476" spans="6:6" x14ac:dyDescent="0.25">
      <c r="F476" s="5">
        <v>474</v>
      </c>
    </row>
    <row r="477" spans="6:6" x14ac:dyDescent="0.25">
      <c r="F477" s="5">
        <v>475</v>
      </c>
    </row>
    <row r="478" spans="6:6" x14ac:dyDescent="0.25">
      <c r="F478" s="5">
        <v>476</v>
      </c>
    </row>
    <row r="479" spans="6:6" x14ac:dyDescent="0.25">
      <c r="F479" s="5">
        <v>477</v>
      </c>
    </row>
    <row r="480" spans="6:6" x14ac:dyDescent="0.25">
      <c r="F480" s="5">
        <v>478</v>
      </c>
    </row>
    <row r="481" spans="6:6" x14ac:dyDescent="0.25">
      <c r="F481" s="5">
        <v>479</v>
      </c>
    </row>
    <row r="482" spans="6:6" x14ac:dyDescent="0.25">
      <c r="F482" s="5">
        <v>480</v>
      </c>
    </row>
    <row r="483" spans="6:6" x14ac:dyDescent="0.25">
      <c r="F483" s="5">
        <v>481</v>
      </c>
    </row>
    <row r="484" spans="6:6" x14ac:dyDescent="0.25">
      <c r="F484" s="5">
        <v>482</v>
      </c>
    </row>
    <row r="485" spans="6:6" x14ac:dyDescent="0.25">
      <c r="F485" s="5">
        <v>483</v>
      </c>
    </row>
    <row r="486" spans="6:6" x14ac:dyDescent="0.25">
      <c r="F486" s="5">
        <v>484</v>
      </c>
    </row>
    <row r="487" spans="6:6" x14ac:dyDescent="0.25">
      <c r="F487" s="5">
        <v>485</v>
      </c>
    </row>
    <row r="488" spans="6:6" x14ac:dyDescent="0.25">
      <c r="F488" s="5">
        <v>486</v>
      </c>
    </row>
    <row r="489" spans="6:6" x14ac:dyDescent="0.25">
      <c r="F489" s="5">
        <v>487</v>
      </c>
    </row>
    <row r="490" spans="6:6" x14ac:dyDescent="0.25">
      <c r="F490" s="5">
        <v>488</v>
      </c>
    </row>
    <row r="491" spans="6:6" x14ac:dyDescent="0.25">
      <c r="F491" s="5">
        <v>489</v>
      </c>
    </row>
    <row r="492" spans="6:6" x14ac:dyDescent="0.25">
      <c r="F492" s="5">
        <v>490</v>
      </c>
    </row>
    <row r="493" spans="6:6" x14ac:dyDescent="0.25">
      <c r="F493" s="5">
        <v>491</v>
      </c>
    </row>
    <row r="494" spans="6:6" x14ac:dyDescent="0.25">
      <c r="F494" s="5">
        <v>492</v>
      </c>
    </row>
    <row r="495" spans="6:6" x14ac:dyDescent="0.25">
      <c r="F495" s="5">
        <v>493</v>
      </c>
    </row>
    <row r="496" spans="6:6" x14ac:dyDescent="0.25">
      <c r="F496" s="5">
        <v>494</v>
      </c>
    </row>
    <row r="497" spans="6:6" x14ac:dyDescent="0.25">
      <c r="F497" s="5">
        <v>495</v>
      </c>
    </row>
    <row r="498" spans="6:6" x14ac:dyDescent="0.25">
      <c r="F498" s="5">
        <v>496</v>
      </c>
    </row>
    <row r="499" spans="6:6" x14ac:dyDescent="0.25">
      <c r="F499" s="5">
        <v>497</v>
      </c>
    </row>
    <row r="500" spans="6:6" x14ac:dyDescent="0.25">
      <c r="F500" s="5">
        <v>498</v>
      </c>
    </row>
    <row r="501" spans="6:6" x14ac:dyDescent="0.25">
      <c r="F501" s="5">
        <v>499</v>
      </c>
    </row>
    <row r="502" spans="6:6" x14ac:dyDescent="0.25">
      <c r="F502" s="5">
        <v>500</v>
      </c>
    </row>
    <row r="503" spans="6:6" x14ac:dyDescent="0.25">
      <c r="F503" s="5">
        <v>501</v>
      </c>
    </row>
    <row r="504" spans="6:6" x14ac:dyDescent="0.25">
      <c r="F504" s="5">
        <v>502</v>
      </c>
    </row>
    <row r="505" spans="6:6" x14ac:dyDescent="0.25">
      <c r="F505" s="5">
        <v>503</v>
      </c>
    </row>
    <row r="506" spans="6:6" x14ac:dyDescent="0.25">
      <c r="F506" s="5">
        <v>504</v>
      </c>
    </row>
    <row r="507" spans="6:6" x14ac:dyDescent="0.25">
      <c r="F507" s="5">
        <v>505</v>
      </c>
    </row>
    <row r="508" spans="6:6" x14ac:dyDescent="0.25">
      <c r="F508" s="5">
        <v>506</v>
      </c>
    </row>
    <row r="509" spans="6:6" x14ac:dyDescent="0.25">
      <c r="F509" s="5">
        <v>507</v>
      </c>
    </row>
    <row r="510" spans="6:6" x14ac:dyDescent="0.25">
      <c r="F510" s="5">
        <v>508</v>
      </c>
    </row>
    <row r="511" spans="6:6" x14ac:dyDescent="0.25">
      <c r="F511" s="5">
        <v>509</v>
      </c>
    </row>
    <row r="512" spans="6:6" x14ac:dyDescent="0.25">
      <c r="F512" s="5">
        <v>510</v>
      </c>
    </row>
    <row r="513" spans="6:6" x14ac:dyDescent="0.25">
      <c r="F513" s="5">
        <v>511</v>
      </c>
    </row>
    <row r="514" spans="6:6" x14ac:dyDescent="0.25">
      <c r="F514" s="5">
        <v>512</v>
      </c>
    </row>
    <row r="515" spans="6:6" x14ac:dyDescent="0.25">
      <c r="F515" s="5">
        <v>513</v>
      </c>
    </row>
    <row r="516" spans="6:6" x14ac:dyDescent="0.25">
      <c r="F516" s="5">
        <v>514</v>
      </c>
    </row>
    <row r="517" spans="6:6" x14ac:dyDescent="0.25">
      <c r="F517" s="5">
        <v>515</v>
      </c>
    </row>
    <row r="518" spans="6:6" x14ac:dyDescent="0.25">
      <c r="F518" s="5">
        <v>516</v>
      </c>
    </row>
    <row r="519" spans="6:6" x14ac:dyDescent="0.25">
      <c r="F519" s="5">
        <v>517</v>
      </c>
    </row>
    <row r="520" spans="6:6" x14ac:dyDescent="0.25">
      <c r="F520" s="5">
        <v>518</v>
      </c>
    </row>
    <row r="521" spans="6:6" x14ac:dyDescent="0.25">
      <c r="F521" s="5">
        <v>519</v>
      </c>
    </row>
    <row r="522" spans="6:6" x14ac:dyDescent="0.25">
      <c r="F522" s="5">
        <v>520</v>
      </c>
    </row>
    <row r="523" spans="6:6" x14ac:dyDescent="0.25">
      <c r="F523" s="5">
        <v>521</v>
      </c>
    </row>
    <row r="524" spans="6:6" x14ac:dyDescent="0.25">
      <c r="F524" s="5">
        <v>522</v>
      </c>
    </row>
    <row r="525" spans="6:6" x14ac:dyDescent="0.25">
      <c r="F525" s="5">
        <v>523</v>
      </c>
    </row>
    <row r="526" spans="6:6" x14ac:dyDescent="0.25">
      <c r="F526" s="5">
        <v>524</v>
      </c>
    </row>
    <row r="527" spans="6:6" x14ac:dyDescent="0.25">
      <c r="F527" s="5">
        <v>525</v>
      </c>
    </row>
    <row r="528" spans="6:6" x14ac:dyDescent="0.25">
      <c r="F528" s="5">
        <v>526</v>
      </c>
    </row>
    <row r="529" spans="6:6" x14ac:dyDescent="0.25">
      <c r="F529" s="5">
        <v>527</v>
      </c>
    </row>
    <row r="530" spans="6:6" x14ac:dyDescent="0.25">
      <c r="F530" s="5">
        <v>528</v>
      </c>
    </row>
    <row r="531" spans="6:6" x14ac:dyDescent="0.25">
      <c r="F531" s="5">
        <v>529</v>
      </c>
    </row>
    <row r="532" spans="6:6" x14ac:dyDescent="0.25">
      <c r="F532" s="5">
        <v>530</v>
      </c>
    </row>
    <row r="533" spans="6:6" x14ac:dyDescent="0.25">
      <c r="F533" s="5">
        <v>531</v>
      </c>
    </row>
    <row r="534" spans="6:6" x14ac:dyDescent="0.25">
      <c r="F534" s="5">
        <v>532</v>
      </c>
    </row>
    <row r="535" spans="6:6" x14ac:dyDescent="0.25">
      <c r="F535" s="5">
        <v>533</v>
      </c>
    </row>
    <row r="536" spans="6:6" x14ac:dyDescent="0.25">
      <c r="F536" s="5">
        <v>534</v>
      </c>
    </row>
    <row r="537" spans="6:6" x14ac:dyDescent="0.25">
      <c r="F537" s="5">
        <v>535</v>
      </c>
    </row>
    <row r="538" spans="6:6" x14ac:dyDescent="0.25">
      <c r="F538" s="5">
        <v>536</v>
      </c>
    </row>
    <row r="539" spans="6:6" x14ac:dyDescent="0.25">
      <c r="F539" s="5">
        <v>537</v>
      </c>
    </row>
    <row r="540" spans="6:6" x14ac:dyDescent="0.25">
      <c r="F540" s="5">
        <v>538</v>
      </c>
    </row>
    <row r="541" spans="6:6" x14ac:dyDescent="0.25">
      <c r="F541" s="5">
        <v>539</v>
      </c>
    </row>
    <row r="542" spans="6:6" x14ac:dyDescent="0.25">
      <c r="F542" s="5">
        <v>540</v>
      </c>
    </row>
    <row r="543" spans="6:6" x14ac:dyDescent="0.25">
      <c r="F543" s="5">
        <v>541</v>
      </c>
    </row>
    <row r="544" spans="6:6" x14ac:dyDescent="0.25">
      <c r="F544" s="5">
        <v>542</v>
      </c>
    </row>
    <row r="545" spans="6:6" x14ac:dyDescent="0.25">
      <c r="F545" s="5">
        <v>543</v>
      </c>
    </row>
    <row r="546" spans="6:6" x14ac:dyDescent="0.25">
      <c r="F546" s="5">
        <v>544</v>
      </c>
    </row>
    <row r="547" spans="6:6" x14ac:dyDescent="0.25">
      <c r="F547" s="5">
        <v>545</v>
      </c>
    </row>
    <row r="548" spans="6:6" x14ac:dyDescent="0.25">
      <c r="F548" s="5">
        <v>546</v>
      </c>
    </row>
    <row r="549" spans="6:6" x14ac:dyDescent="0.25">
      <c r="F549" s="5">
        <v>547</v>
      </c>
    </row>
    <row r="550" spans="6:6" x14ac:dyDescent="0.25">
      <c r="F550" s="5">
        <v>548</v>
      </c>
    </row>
    <row r="551" spans="6:6" x14ac:dyDescent="0.25">
      <c r="F551" s="5">
        <v>549</v>
      </c>
    </row>
    <row r="552" spans="6:6" x14ac:dyDescent="0.25">
      <c r="F552" s="5">
        <v>550</v>
      </c>
    </row>
    <row r="553" spans="6:6" x14ac:dyDescent="0.25">
      <c r="F553" s="5">
        <v>551</v>
      </c>
    </row>
    <row r="554" spans="6:6" x14ac:dyDescent="0.25">
      <c r="F554" s="5">
        <v>552</v>
      </c>
    </row>
    <row r="555" spans="6:6" x14ac:dyDescent="0.25">
      <c r="F555" s="5">
        <v>553</v>
      </c>
    </row>
    <row r="556" spans="6:6" x14ac:dyDescent="0.25">
      <c r="F556" s="5">
        <v>554</v>
      </c>
    </row>
    <row r="557" spans="6:6" x14ac:dyDescent="0.25">
      <c r="F557" s="5">
        <v>555</v>
      </c>
    </row>
    <row r="558" spans="6:6" x14ac:dyDescent="0.25">
      <c r="F558" s="5">
        <v>556</v>
      </c>
    </row>
    <row r="559" spans="6:6" x14ac:dyDescent="0.25">
      <c r="F559" s="5">
        <v>557</v>
      </c>
    </row>
    <row r="560" spans="6:6" x14ac:dyDescent="0.25">
      <c r="F560" s="5">
        <v>558</v>
      </c>
    </row>
    <row r="561" spans="6:6" x14ac:dyDescent="0.25">
      <c r="F561" s="5">
        <v>559</v>
      </c>
    </row>
    <row r="562" spans="6:6" x14ac:dyDescent="0.25">
      <c r="F562" s="5">
        <v>560</v>
      </c>
    </row>
    <row r="563" spans="6:6" x14ac:dyDescent="0.25">
      <c r="F563" s="5">
        <v>561</v>
      </c>
    </row>
    <row r="564" spans="6:6" x14ac:dyDescent="0.25">
      <c r="F564" s="5">
        <v>562</v>
      </c>
    </row>
    <row r="565" spans="6:6" x14ac:dyDescent="0.25">
      <c r="F565" s="5">
        <v>563</v>
      </c>
    </row>
    <row r="566" spans="6:6" x14ac:dyDescent="0.25">
      <c r="F566" s="5">
        <v>564</v>
      </c>
    </row>
    <row r="567" spans="6:6" x14ac:dyDescent="0.25">
      <c r="F567" s="5">
        <v>565</v>
      </c>
    </row>
    <row r="568" spans="6:6" x14ac:dyDescent="0.25">
      <c r="F568" s="5">
        <v>566</v>
      </c>
    </row>
    <row r="569" spans="6:6" x14ac:dyDescent="0.25">
      <c r="F569" s="5">
        <v>567</v>
      </c>
    </row>
    <row r="570" spans="6:6" x14ac:dyDescent="0.25">
      <c r="F570" s="5">
        <v>568</v>
      </c>
    </row>
    <row r="571" spans="6:6" x14ac:dyDescent="0.25">
      <c r="F571" s="5">
        <v>569</v>
      </c>
    </row>
    <row r="572" spans="6:6" x14ac:dyDescent="0.25">
      <c r="F572" s="5">
        <v>570</v>
      </c>
    </row>
    <row r="573" spans="6:6" x14ac:dyDescent="0.25">
      <c r="F573" s="5">
        <v>571</v>
      </c>
    </row>
    <row r="574" spans="6:6" x14ac:dyDescent="0.25">
      <c r="F574" s="5">
        <v>572</v>
      </c>
    </row>
    <row r="575" spans="6:6" x14ac:dyDescent="0.25">
      <c r="F575" s="5">
        <v>573</v>
      </c>
    </row>
    <row r="576" spans="6:6" x14ac:dyDescent="0.25">
      <c r="F576" s="5">
        <v>574</v>
      </c>
    </row>
    <row r="577" spans="6:6" x14ac:dyDescent="0.25">
      <c r="F577" s="5">
        <v>575</v>
      </c>
    </row>
    <row r="578" spans="6:6" x14ac:dyDescent="0.25">
      <c r="F578" s="5">
        <v>576</v>
      </c>
    </row>
    <row r="579" spans="6:6" x14ac:dyDescent="0.25">
      <c r="F579" s="5">
        <v>577</v>
      </c>
    </row>
    <row r="580" spans="6:6" x14ac:dyDescent="0.25">
      <c r="F580" s="5">
        <v>578</v>
      </c>
    </row>
    <row r="581" spans="6:6" x14ac:dyDescent="0.25">
      <c r="F581" s="5">
        <v>579</v>
      </c>
    </row>
    <row r="582" spans="6:6" x14ac:dyDescent="0.25">
      <c r="F582" s="5">
        <v>580</v>
      </c>
    </row>
    <row r="583" spans="6:6" x14ac:dyDescent="0.25">
      <c r="F583" s="5">
        <v>581</v>
      </c>
    </row>
    <row r="584" spans="6:6" x14ac:dyDescent="0.25">
      <c r="F584" s="5">
        <v>582</v>
      </c>
    </row>
    <row r="585" spans="6:6" x14ac:dyDescent="0.25">
      <c r="F585" s="5">
        <v>583</v>
      </c>
    </row>
    <row r="586" spans="6:6" x14ac:dyDescent="0.25">
      <c r="F586" s="5">
        <v>584</v>
      </c>
    </row>
    <row r="587" spans="6:6" x14ac:dyDescent="0.25">
      <c r="F587" s="5">
        <v>585</v>
      </c>
    </row>
    <row r="588" spans="6:6" x14ac:dyDescent="0.25">
      <c r="F588" s="5">
        <v>586</v>
      </c>
    </row>
    <row r="589" spans="6:6" x14ac:dyDescent="0.25">
      <c r="F589" s="5">
        <v>587</v>
      </c>
    </row>
    <row r="590" spans="6:6" x14ac:dyDescent="0.25">
      <c r="F590" s="5">
        <v>588</v>
      </c>
    </row>
    <row r="591" spans="6:6" x14ac:dyDescent="0.25">
      <c r="F591" s="5">
        <v>589</v>
      </c>
    </row>
    <row r="592" spans="6:6" x14ac:dyDescent="0.25">
      <c r="F592" s="5">
        <v>590</v>
      </c>
    </row>
    <row r="593" spans="6:6" x14ac:dyDescent="0.25">
      <c r="F593" s="5">
        <v>591</v>
      </c>
    </row>
    <row r="594" spans="6:6" x14ac:dyDescent="0.25">
      <c r="F594" s="5">
        <v>592</v>
      </c>
    </row>
    <row r="595" spans="6:6" x14ac:dyDescent="0.25">
      <c r="F595" s="5">
        <v>593</v>
      </c>
    </row>
    <row r="596" spans="6:6" x14ac:dyDescent="0.25">
      <c r="F596" s="5">
        <v>594</v>
      </c>
    </row>
    <row r="597" spans="6:6" x14ac:dyDescent="0.25">
      <c r="F597" s="5">
        <v>595</v>
      </c>
    </row>
    <row r="598" spans="6:6" x14ac:dyDescent="0.25">
      <c r="F598" s="5">
        <v>596</v>
      </c>
    </row>
    <row r="599" spans="6:6" x14ac:dyDescent="0.25">
      <c r="F599" s="5">
        <v>597</v>
      </c>
    </row>
    <row r="600" spans="6:6" x14ac:dyDescent="0.25">
      <c r="F600" s="5">
        <v>598</v>
      </c>
    </row>
    <row r="601" spans="6:6" x14ac:dyDescent="0.25">
      <c r="F601" s="5">
        <v>599</v>
      </c>
    </row>
    <row r="602" spans="6:6" x14ac:dyDescent="0.25">
      <c r="F602" s="5">
        <v>600</v>
      </c>
    </row>
    <row r="603" spans="6:6" x14ac:dyDescent="0.25">
      <c r="F603" s="5">
        <v>601</v>
      </c>
    </row>
    <row r="604" spans="6:6" x14ac:dyDescent="0.25">
      <c r="F604" s="5">
        <v>602</v>
      </c>
    </row>
    <row r="605" spans="6:6" x14ac:dyDescent="0.25">
      <c r="F605" s="5">
        <v>603</v>
      </c>
    </row>
    <row r="606" spans="6:6" x14ac:dyDescent="0.25">
      <c r="F606" s="5">
        <v>604</v>
      </c>
    </row>
    <row r="607" spans="6:6" x14ac:dyDescent="0.25">
      <c r="F607" s="5">
        <v>605</v>
      </c>
    </row>
    <row r="608" spans="6:6" x14ac:dyDescent="0.25">
      <c r="F608" s="5">
        <v>606</v>
      </c>
    </row>
    <row r="609" spans="6:6" x14ac:dyDescent="0.25">
      <c r="F609" s="5">
        <v>607</v>
      </c>
    </row>
    <row r="610" spans="6:6" x14ac:dyDescent="0.25">
      <c r="F610" s="5">
        <v>608</v>
      </c>
    </row>
    <row r="611" spans="6:6" x14ac:dyDescent="0.25">
      <c r="F611" s="5">
        <v>609</v>
      </c>
    </row>
    <row r="612" spans="6:6" x14ac:dyDescent="0.25">
      <c r="F612" s="5">
        <v>610</v>
      </c>
    </row>
    <row r="613" spans="6:6" x14ac:dyDescent="0.25">
      <c r="F613" s="5">
        <v>611</v>
      </c>
    </row>
    <row r="614" spans="6:6" x14ac:dyDescent="0.25">
      <c r="F614" s="5">
        <v>612</v>
      </c>
    </row>
    <row r="615" spans="6:6" x14ac:dyDescent="0.25">
      <c r="F615" s="5">
        <v>613</v>
      </c>
    </row>
    <row r="616" spans="6:6" x14ac:dyDescent="0.25">
      <c r="F616" s="5">
        <v>614</v>
      </c>
    </row>
    <row r="617" spans="6:6" x14ac:dyDescent="0.25">
      <c r="F617" s="5">
        <v>615</v>
      </c>
    </row>
    <row r="618" spans="6:6" x14ac:dyDescent="0.25">
      <c r="F618" s="5">
        <v>616</v>
      </c>
    </row>
    <row r="619" spans="6:6" x14ac:dyDescent="0.25">
      <c r="F619" s="5">
        <v>617</v>
      </c>
    </row>
    <row r="620" spans="6:6" x14ac:dyDescent="0.25">
      <c r="F620" s="5">
        <v>618</v>
      </c>
    </row>
    <row r="621" spans="6:6" x14ac:dyDescent="0.25">
      <c r="F621" s="5">
        <v>619</v>
      </c>
    </row>
    <row r="622" spans="6:6" x14ac:dyDescent="0.25">
      <c r="F622" s="5">
        <v>620</v>
      </c>
    </row>
    <row r="623" spans="6:6" x14ac:dyDescent="0.25">
      <c r="F623" s="5">
        <v>621</v>
      </c>
    </row>
    <row r="624" spans="6:6" x14ac:dyDescent="0.25">
      <c r="F624" s="5">
        <v>622</v>
      </c>
    </row>
    <row r="625" spans="6:6" x14ac:dyDescent="0.25">
      <c r="F625" s="5">
        <v>623</v>
      </c>
    </row>
    <row r="626" spans="6:6" x14ac:dyDescent="0.25">
      <c r="F626" s="5">
        <v>624</v>
      </c>
    </row>
    <row r="627" spans="6:6" x14ac:dyDescent="0.25">
      <c r="F627" s="5">
        <v>625</v>
      </c>
    </row>
    <row r="628" spans="6:6" x14ac:dyDescent="0.25">
      <c r="F628" s="5">
        <v>626</v>
      </c>
    </row>
    <row r="629" spans="6:6" x14ac:dyDescent="0.25">
      <c r="F629" s="5">
        <v>627</v>
      </c>
    </row>
    <row r="630" spans="6:6" x14ac:dyDescent="0.25">
      <c r="F630" s="5">
        <v>628</v>
      </c>
    </row>
    <row r="631" spans="6:6" x14ac:dyDescent="0.25">
      <c r="F631" s="5">
        <v>629</v>
      </c>
    </row>
    <row r="632" spans="6:6" x14ac:dyDescent="0.25">
      <c r="F632" s="5">
        <v>630</v>
      </c>
    </row>
    <row r="633" spans="6:6" x14ac:dyDescent="0.25">
      <c r="F633" s="5">
        <v>631</v>
      </c>
    </row>
    <row r="634" spans="6:6" x14ac:dyDescent="0.25">
      <c r="F634" s="5">
        <v>632</v>
      </c>
    </row>
    <row r="635" spans="6:6" x14ac:dyDescent="0.25">
      <c r="F635" s="5">
        <v>633</v>
      </c>
    </row>
    <row r="636" spans="6:6" x14ac:dyDescent="0.25">
      <c r="F636" s="5">
        <v>634</v>
      </c>
    </row>
    <row r="637" spans="6:6" x14ac:dyDescent="0.25">
      <c r="F637" s="5">
        <v>635</v>
      </c>
    </row>
    <row r="638" spans="6:6" x14ac:dyDescent="0.25">
      <c r="F638" s="5">
        <v>636</v>
      </c>
    </row>
    <row r="639" spans="6:6" x14ac:dyDescent="0.25">
      <c r="F639" s="5">
        <v>637</v>
      </c>
    </row>
    <row r="640" spans="6:6" x14ac:dyDescent="0.25">
      <c r="F640" s="5">
        <v>638</v>
      </c>
    </row>
    <row r="641" spans="6:6" x14ac:dyDescent="0.25">
      <c r="F641" s="5">
        <v>639</v>
      </c>
    </row>
    <row r="642" spans="6:6" x14ac:dyDescent="0.25">
      <c r="F642" s="5">
        <v>640</v>
      </c>
    </row>
    <row r="643" spans="6:6" x14ac:dyDescent="0.25">
      <c r="F643" s="5">
        <v>641</v>
      </c>
    </row>
    <row r="644" spans="6:6" x14ac:dyDescent="0.25">
      <c r="F644" s="5">
        <v>642</v>
      </c>
    </row>
    <row r="645" spans="6:6" x14ac:dyDescent="0.25">
      <c r="F645" s="5">
        <v>643</v>
      </c>
    </row>
    <row r="646" spans="6:6" x14ac:dyDescent="0.25">
      <c r="F646" s="5">
        <v>644</v>
      </c>
    </row>
    <row r="647" spans="6:6" x14ac:dyDescent="0.25">
      <c r="F647" s="5">
        <v>645</v>
      </c>
    </row>
    <row r="648" spans="6:6" x14ac:dyDescent="0.25">
      <c r="F648" s="5">
        <v>646</v>
      </c>
    </row>
    <row r="649" spans="6:6" x14ac:dyDescent="0.25">
      <c r="F649" s="5">
        <v>647</v>
      </c>
    </row>
    <row r="650" spans="6:6" x14ac:dyDescent="0.25">
      <c r="F650" s="5">
        <v>648</v>
      </c>
    </row>
    <row r="651" spans="6:6" x14ac:dyDescent="0.25">
      <c r="F651" s="5">
        <v>649</v>
      </c>
    </row>
    <row r="652" spans="6:6" x14ac:dyDescent="0.25">
      <c r="F652" s="5">
        <v>650</v>
      </c>
    </row>
    <row r="653" spans="6:6" x14ac:dyDescent="0.25">
      <c r="F653" s="5">
        <v>651</v>
      </c>
    </row>
    <row r="654" spans="6:6" x14ac:dyDescent="0.25">
      <c r="F654" s="5">
        <v>652</v>
      </c>
    </row>
    <row r="655" spans="6:6" x14ac:dyDescent="0.25">
      <c r="F655" s="5">
        <v>653</v>
      </c>
    </row>
    <row r="656" spans="6:6" x14ac:dyDescent="0.25">
      <c r="F656" s="5">
        <v>654</v>
      </c>
    </row>
    <row r="657" spans="6:6" x14ac:dyDescent="0.25">
      <c r="F657" s="5">
        <v>655</v>
      </c>
    </row>
    <row r="658" spans="6:6" x14ac:dyDescent="0.25">
      <c r="F658" s="5">
        <v>656</v>
      </c>
    </row>
    <row r="659" spans="6:6" x14ac:dyDescent="0.25">
      <c r="F659" s="5">
        <v>657</v>
      </c>
    </row>
    <row r="660" spans="6:6" x14ac:dyDescent="0.25">
      <c r="F660" s="5">
        <v>658</v>
      </c>
    </row>
    <row r="661" spans="6:6" x14ac:dyDescent="0.25">
      <c r="F661" s="5">
        <v>659</v>
      </c>
    </row>
    <row r="662" spans="6:6" x14ac:dyDescent="0.25">
      <c r="F662" s="5">
        <v>660</v>
      </c>
    </row>
    <row r="663" spans="6:6" x14ac:dyDescent="0.25">
      <c r="F663" s="5">
        <v>661</v>
      </c>
    </row>
    <row r="664" spans="6:6" x14ac:dyDescent="0.25">
      <c r="F664" s="5">
        <v>662</v>
      </c>
    </row>
    <row r="665" spans="6:6" x14ac:dyDescent="0.25">
      <c r="F665" s="5">
        <v>663</v>
      </c>
    </row>
    <row r="666" spans="6:6" x14ac:dyDescent="0.25">
      <c r="F666" s="5">
        <v>664</v>
      </c>
    </row>
    <row r="667" spans="6:6" x14ac:dyDescent="0.25">
      <c r="F667" s="5">
        <v>665</v>
      </c>
    </row>
    <row r="668" spans="6:6" x14ac:dyDescent="0.25">
      <c r="F668" s="5">
        <v>666</v>
      </c>
    </row>
    <row r="669" spans="6:6" x14ac:dyDescent="0.25">
      <c r="F669" s="5">
        <v>667</v>
      </c>
    </row>
    <row r="670" spans="6:6" x14ac:dyDescent="0.25">
      <c r="F670" s="5">
        <v>668</v>
      </c>
    </row>
    <row r="671" spans="6:6" x14ac:dyDescent="0.25">
      <c r="F671" s="5">
        <v>669</v>
      </c>
    </row>
    <row r="672" spans="6:6" x14ac:dyDescent="0.25">
      <c r="F672" s="5">
        <v>670</v>
      </c>
    </row>
    <row r="673" spans="6:6" x14ac:dyDescent="0.25">
      <c r="F673" s="5">
        <v>671</v>
      </c>
    </row>
    <row r="674" spans="6:6" x14ac:dyDescent="0.25">
      <c r="F674" s="5">
        <v>672</v>
      </c>
    </row>
    <row r="675" spans="6:6" x14ac:dyDescent="0.25">
      <c r="F675" s="5">
        <v>673</v>
      </c>
    </row>
    <row r="676" spans="6:6" x14ac:dyDescent="0.25">
      <c r="F676" s="5">
        <v>674</v>
      </c>
    </row>
    <row r="677" spans="6:6" x14ac:dyDescent="0.25">
      <c r="F677" s="5">
        <v>675</v>
      </c>
    </row>
    <row r="678" spans="6:6" x14ac:dyDescent="0.25">
      <c r="F678" s="5">
        <v>676</v>
      </c>
    </row>
    <row r="679" spans="6:6" x14ac:dyDescent="0.25">
      <c r="F679" s="5">
        <v>677</v>
      </c>
    </row>
    <row r="680" spans="6:6" x14ac:dyDescent="0.25">
      <c r="F680" s="5">
        <v>678</v>
      </c>
    </row>
    <row r="681" spans="6:6" x14ac:dyDescent="0.25">
      <c r="F681" s="5">
        <v>679</v>
      </c>
    </row>
    <row r="682" spans="6:6" x14ac:dyDescent="0.25">
      <c r="F682" s="5">
        <v>680</v>
      </c>
    </row>
    <row r="683" spans="6:6" x14ac:dyDescent="0.25">
      <c r="F683" s="5">
        <v>681</v>
      </c>
    </row>
    <row r="684" spans="6:6" x14ac:dyDescent="0.25">
      <c r="F684" s="5">
        <v>682</v>
      </c>
    </row>
    <row r="685" spans="6:6" x14ac:dyDescent="0.25">
      <c r="F685" s="5">
        <v>683</v>
      </c>
    </row>
    <row r="686" spans="6:6" x14ac:dyDescent="0.25">
      <c r="F686" s="5">
        <v>684</v>
      </c>
    </row>
    <row r="687" spans="6:6" x14ac:dyDescent="0.25">
      <c r="F687" s="5">
        <v>685</v>
      </c>
    </row>
    <row r="688" spans="6:6" x14ac:dyDescent="0.25">
      <c r="F688" s="5">
        <v>686</v>
      </c>
    </row>
    <row r="689" spans="6:6" x14ac:dyDescent="0.25">
      <c r="F689" s="5">
        <v>687</v>
      </c>
    </row>
    <row r="690" spans="6:6" x14ac:dyDescent="0.25">
      <c r="F690" s="5">
        <v>688</v>
      </c>
    </row>
    <row r="691" spans="6:6" x14ac:dyDescent="0.25">
      <c r="F691" s="5">
        <v>689</v>
      </c>
    </row>
    <row r="692" spans="6:6" x14ac:dyDescent="0.25">
      <c r="F692" s="5">
        <v>690</v>
      </c>
    </row>
    <row r="693" spans="6:6" x14ac:dyDescent="0.25">
      <c r="F693" s="5">
        <v>691</v>
      </c>
    </row>
    <row r="694" spans="6:6" x14ac:dyDescent="0.25">
      <c r="F694" s="5">
        <v>692</v>
      </c>
    </row>
    <row r="695" spans="6:6" x14ac:dyDescent="0.25">
      <c r="F695" s="5">
        <v>693</v>
      </c>
    </row>
    <row r="696" spans="6:6" x14ac:dyDescent="0.25">
      <c r="F696" s="5">
        <v>694</v>
      </c>
    </row>
    <row r="697" spans="6:6" x14ac:dyDescent="0.25">
      <c r="F697" s="5">
        <v>695</v>
      </c>
    </row>
    <row r="698" spans="6:6" x14ac:dyDescent="0.25">
      <c r="F698" s="5">
        <v>696</v>
      </c>
    </row>
    <row r="699" spans="6:6" x14ac:dyDescent="0.25">
      <c r="F699" s="5">
        <v>697</v>
      </c>
    </row>
    <row r="700" spans="6:6" x14ac:dyDescent="0.25">
      <c r="F700" s="5">
        <v>698</v>
      </c>
    </row>
    <row r="701" spans="6:6" x14ac:dyDescent="0.25">
      <c r="F701" s="5">
        <v>699</v>
      </c>
    </row>
    <row r="702" spans="6:6" x14ac:dyDescent="0.25">
      <c r="F702" s="5">
        <v>700</v>
      </c>
    </row>
    <row r="703" spans="6:6" x14ac:dyDescent="0.25">
      <c r="F703" s="5">
        <v>701</v>
      </c>
    </row>
    <row r="704" spans="6:6" x14ac:dyDescent="0.25">
      <c r="F704" s="5">
        <v>702</v>
      </c>
    </row>
    <row r="705" spans="6:6" x14ac:dyDescent="0.25">
      <c r="F705" s="5">
        <v>703</v>
      </c>
    </row>
    <row r="706" spans="6:6" x14ac:dyDescent="0.25">
      <c r="F706" s="5">
        <v>704</v>
      </c>
    </row>
    <row r="707" spans="6:6" x14ac:dyDescent="0.25">
      <c r="F707" s="5">
        <v>705</v>
      </c>
    </row>
    <row r="708" spans="6:6" x14ac:dyDescent="0.25">
      <c r="F708" s="5">
        <v>706</v>
      </c>
    </row>
    <row r="709" spans="6:6" x14ac:dyDescent="0.25">
      <c r="F709" s="5">
        <v>707</v>
      </c>
    </row>
    <row r="710" spans="6:6" x14ac:dyDescent="0.25">
      <c r="F710" s="5">
        <v>708</v>
      </c>
    </row>
    <row r="711" spans="6:6" x14ac:dyDescent="0.25">
      <c r="F711" s="5">
        <v>709</v>
      </c>
    </row>
    <row r="712" spans="6:6" x14ac:dyDescent="0.25">
      <c r="F712" s="5">
        <v>710</v>
      </c>
    </row>
    <row r="713" spans="6:6" x14ac:dyDescent="0.25">
      <c r="F713" s="5">
        <v>711</v>
      </c>
    </row>
    <row r="714" spans="6:6" x14ac:dyDescent="0.25">
      <c r="F714" s="5">
        <v>712</v>
      </c>
    </row>
    <row r="715" spans="6:6" x14ac:dyDescent="0.25">
      <c r="F715" s="5">
        <v>713</v>
      </c>
    </row>
    <row r="716" spans="6:6" x14ac:dyDescent="0.25">
      <c r="F716" s="5">
        <v>714</v>
      </c>
    </row>
    <row r="717" spans="6:6" x14ac:dyDescent="0.25">
      <c r="F717" s="5">
        <v>715</v>
      </c>
    </row>
    <row r="718" spans="6:6" x14ac:dyDescent="0.25">
      <c r="F718" s="5">
        <v>716</v>
      </c>
    </row>
    <row r="719" spans="6:6" x14ac:dyDescent="0.25">
      <c r="F719" s="5">
        <v>717</v>
      </c>
    </row>
    <row r="720" spans="6:6" x14ac:dyDescent="0.25">
      <c r="F720" s="5">
        <v>718</v>
      </c>
    </row>
    <row r="721" spans="6:6" x14ac:dyDescent="0.25">
      <c r="F721" s="5">
        <v>719</v>
      </c>
    </row>
    <row r="722" spans="6:6" x14ac:dyDescent="0.25">
      <c r="F722" s="5">
        <v>720</v>
      </c>
    </row>
    <row r="723" spans="6:6" x14ac:dyDescent="0.25">
      <c r="F723" s="5">
        <v>721</v>
      </c>
    </row>
    <row r="724" spans="6:6" x14ac:dyDescent="0.25">
      <c r="F724" s="5">
        <v>722</v>
      </c>
    </row>
    <row r="725" spans="6:6" x14ac:dyDescent="0.25">
      <c r="F725" s="5">
        <v>723</v>
      </c>
    </row>
    <row r="726" spans="6:6" x14ac:dyDescent="0.25">
      <c r="F726" s="5">
        <v>724</v>
      </c>
    </row>
    <row r="727" spans="6:6" x14ac:dyDescent="0.25">
      <c r="F727" s="5">
        <v>725</v>
      </c>
    </row>
    <row r="728" spans="6:6" x14ac:dyDescent="0.25">
      <c r="F728" s="5">
        <v>726</v>
      </c>
    </row>
    <row r="729" spans="6:6" x14ac:dyDescent="0.25">
      <c r="F729" s="5">
        <v>727</v>
      </c>
    </row>
    <row r="730" spans="6:6" x14ac:dyDescent="0.25">
      <c r="F730" s="5">
        <v>728</v>
      </c>
    </row>
    <row r="731" spans="6:6" x14ac:dyDescent="0.25">
      <c r="F731" s="5">
        <v>729</v>
      </c>
    </row>
    <row r="732" spans="6:6" x14ac:dyDescent="0.25">
      <c r="F732" s="5">
        <v>730</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10</vt:i4>
      </vt:variant>
    </vt:vector>
  </HeadingPairs>
  <TitlesOfParts>
    <vt:vector size="12" baseType="lpstr">
      <vt:lpstr>Formato</vt:lpstr>
      <vt:lpstr>Listas</vt:lpstr>
      <vt:lpstr>CalendarioPrincipal</vt:lpstr>
      <vt:lpstr>Dias</vt:lpstr>
      <vt:lpstr>Festivos</vt:lpstr>
      <vt:lpstr>Lista_Areas</vt:lpstr>
      <vt:lpstr>Lista_Calendario</vt:lpstr>
      <vt:lpstr>Lista_Categoria</vt:lpstr>
      <vt:lpstr>Lista_Repite</vt:lpstr>
      <vt:lpstr>Lista_Sede</vt:lpstr>
      <vt:lpstr>Lista_UnidadLider</vt:lpstr>
      <vt:lpstr>SedePrincipal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ESTADÍSTICA PLANEACIÓN INSTITUCIONAL UCUNDINAMARCA</cp:lastModifiedBy>
  <dcterms:created xsi:type="dcterms:W3CDTF">2026-09-25T15:27:15Z</dcterms:created>
  <dcterms:modified xsi:type="dcterms:W3CDTF">2026-10-07T14:52:05Z</dcterms:modified>
</cp:coreProperties>
</file>